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писание" sheetId="1" state="visible" r:id="rId3"/>
    <sheet name="Исходные" sheetId="2" state="visible" r:id="rId4"/>
    <sheet name="Проходы" sheetId="3" state="visible" r:id="rId5"/>
    <sheet name="Модели" sheetId="4" state="visible" r:id="rId6"/>
    <sheet name="Опыт_режимы" sheetId="5" state="visible" r:id="rId7"/>
    <sheet name="Энергетика" sheetId="6" state="visible" r:id="rId8"/>
    <sheet name="Смена" sheetId="7" state="visible" r:id="rId9"/>
    <sheet name="Экономика" sheetId="8" state="visible" r:id="rId10"/>
    <sheet name="Веса" sheetId="9" state="visible" r:id="rId11"/>
    <sheet name="Показатели" sheetId="10" state="visible" r:id="rId12"/>
    <sheet name="Энтропия" sheetId="11" state="visible" r:id="rId13"/>
    <sheet name="Устойчивость" sheetId="12" state="visible" r:id="rId14"/>
  </sheets>
  <definedNames>
    <definedName function="false" hidden="false" name="alpha_w" vbProcedure="false">Исходные!$C$56</definedName>
    <definedName function="false" hidden="false" name="ASAE_RF1" vbProcedure="false">Исходные!$C$44</definedName>
    <definedName function="false" hidden="false" name="ASAE_RF2" vbProcedure="false">Исходные!$C$45</definedName>
    <definedName function="false" hidden="false" name="A_0" vbProcedure="false">Модели!$C$10</definedName>
    <definedName function="false" hidden="false" name="A_a" vbProcedure="false">Модели!$C$12</definedName>
    <definedName function="false" hidden="false" name="A_v" vbProcedure="false">Модели!$C$11</definedName>
    <definedName function="false" hidden="false" name="bat_cal_y" vbProcedure="false">Исходные!$C$49</definedName>
    <definedName function="false" hidden="false" name="bat_cycles" vbProcedure="false">Исходные!$C$48</definedName>
    <definedName function="false" hidden="false" name="bat_usd_kWh" vbProcedure="false">Исходные!$C$47</definedName>
    <definedName function="false" hidden="false" name="cv_P" vbProcedure="false">Модели!$C$15</definedName>
    <definedName function="false" hidden="false" name="C_bat" vbProcedure="false">Исходные!$C$72</definedName>
    <definedName function="false" hidden="false" name="c_D" vbProcedure="false">Исходные!$C$36</definedName>
    <definedName function="false" hidden="false" name="c_el" vbProcedure="false">Исходные!$C$35</definedName>
    <definedName function="false" hidden="false" name="c_move" vbProcedure="false">Модели!$C$8</definedName>
    <definedName function="false" hidden="false" name="EF_D" vbProcedure="false">Исходные!$C$51</definedName>
    <definedName function="false" hidden="false" name="EF_grid" vbProcedure="false">Исходные!$C$50</definedName>
    <definedName function="false" hidden="false" name="eps" vbProcedure="false">Модели!$C$4</definedName>
    <definedName function="false" hidden="false" name="eta_bat" vbProcedure="false">Исходные!$C$24</definedName>
    <definedName function="false" hidden="false" name="eta_ch" vbProcedure="false">Исходные!$C$23</definedName>
    <definedName function="false" hidden="false" name="eta_ep" vbProcedure="false">Исходные!$C$11</definedName>
    <definedName function="false" hidden="false" name="eta_tr" vbProcedure="false">Исходные!$C$12</definedName>
    <definedName function="false" hidden="false" name="E_bat_kWh" vbProcedure="false">Исходные!$C$5</definedName>
    <definedName function="false" hidden="false" name="E_tr" vbProcedure="false">Исходные!$C$62</definedName>
    <definedName function="false" hidden="false" name="E_use" vbProcedure="false">Исходные!$C$59</definedName>
    <definedName function="false" hidden="false" name="f_roll" vbProcedure="false">Модели!$C$2</definedName>
    <definedName function="false" hidden="false" name="g" vbProcedure="false">Исходные!$C$4</definedName>
    <definedName function="false" hidden="false" name="h_month" vbProcedure="false">Исходные!$C$38</definedName>
    <definedName function="false" hidden="false" name="k_0" vbProcedure="false">Модели!$C$3</definedName>
    <definedName function="false" hidden="false" name="k_CRF" vbProcedure="false">Исходные!$C$70</definedName>
    <definedName function="false" hidden="false" name="k_D" vbProcedure="false">Исходные!$C$16</definedName>
    <definedName function="false" hidden="false" name="k_landed" vbProcedure="false">Исходные!$C$34</definedName>
    <definedName function="false" hidden="false" name="k_pto_D" vbProcedure="false">Исходные!$C$15</definedName>
    <definedName function="false" hidden="false" name="k_RM_ET" vbProcedure="false">Исходные!$C$46</definedName>
    <definedName function="false" hidden="false" name="k_SFF" vbProcedure="false">Исходные!$C$71</definedName>
    <definedName function="false" hidden="false" name="k_slip" vbProcedure="false">Модели!$C$7</definedName>
    <definedName function="false" hidden="false" name="k_soc" vbProcedure="false">Исходные!$C$39</definedName>
    <definedName function="false" hidden="false" name="LHV_D" vbProcedure="false">Исходные!$C$19</definedName>
    <definedName function="false" hidden="false" name="life_y" vbProcedure="false">Исходные!$C$41</definedName>
    <definedName function="false" hidden="false" name="l_charge_km" vbProcedure="false">Исходные!$C$28</definedName>
    <definedName function="false" hidden="false" name="L_run_m" vbProcedure="false">Исходные!$C$27</definedName>
    <definedName function="false" hidden="false" name="m_D" vbProcedure="false">Исходные!$C$3</definedName>
    <definedName function="false" hidden="false" name="m_ET" vbProcedure="false">Исходные!$C$2</definedName>
    <definedName function="false" hidden="false" name="PEF_D" vbProcedure="false">Исходные!$C$53</definedName>
    <definedName function="false" hidden="false" name="PEF_el" vbProcedure="false">Исходные!$C$52</definedName>
    <definedName function="false" hidden="false" name="phi_max" vbProcedure="false">Модели!$C$6</definedName>
    <definedName function="false" hidden="false" name="price_D" vbProcedure="false">Исходные!$C$67</definedName>
    <definedName function="false" hidden="false" name="price_D_usd" vbProcedure="false">Исходные!$C$33</definedName>
    <definedName function="false" hidden="false" name="price_ET" vbProcedure="false">Исходные!$C$66</definedName>
    <definedName function="false" hidden="false" name="price_ET_usd" vbProcedure="false">Исходные!$C$32</definedName>
    <definedName function="false" hidden="false" name="P_aux" vbProcedure="false">Исходные!$C$10</definedName>
    <definedName function="false" hidden="false" name="P_ch_ac" vbProcedure="false">Исходные!$C$22</definedName>
    <definedName function="false" hidden="false" name="P_el_lim" vbProcedure="false">Исходные!$C$8</definedName>
    <definedName function="false" hidden="false" name="P_e_nom_D" vbProcedure="false">Исходные!$C$14</definedName>
    <definedName function="false" hidden="false" name="P_hyd_idle_D" vbProcedure="false">Исходные!$C$13</definedName>
    <definedName function="false" hidden="false" name="P_mot_1h" vbProcedure="false">Исходные!$C$9</definedName>
    <definedName function="false" hidden="false" name="P_pto_nom" vbProcedure="false">Исходные!$C$64</definedName>
    <definedName function="false" hidden="false" name="P_rot0" vbProcedure="false">Модели!$C$9</definedName>
    <definedName function="false" hidden="false" name="P_transp_kW" vbProcedure="false">Исходные!$C$30</definedName>
    <definedName function="false" hidden="false" name="Q_tr" vbProcedure="false">Исходные!$C$74</definedName>
    <definedName function="false" hidden="false" name="Q_turn" vbProcedure="false">Исходные!$C$73</definedName>
    <definedName function="false" hidden="false" name="R2_k" vbProcedure="false">Модели!$C$5</definedName>
    <definedName function="false" hidden="false" name="rm_h_D" vbProcedure="false">Исходные!$C$69</definedName>
    <definedName function="false" hidden="false" name="r_disc" vbProcedure="false">Исходные!$C$42</definedName>
    <definedName function="false" hidden="false" name="salvage" vbProcedure="false">Исходные!$C$43</definedName>
    <definedName function="false" hidden="false" name="sfc_a" vbProcedure="false">Исходные!$C$17</definedName>
    <definedName function="false" hidden="false" name="sfc_b" vbProcedure="false">Исходные!$C$18</definedName>
    <definedName function="false" hidden="false" name="slip_max" vbProcedure="false">Исходные!$C$54</definedName>
    <definedName function="false" hidden="false" name="slip_till" vbProcedure="false">Модели!$C$14</definedName>
    <definedName function="false" hidden="false" name="slip_till_meas" vbProcedure="false">Модели!$C$13</definedName>
    <definedName function="false" hidden="false" name="SOC_max" vbProcedure="false">Исходные!$C$6</definedName>
    <definedName function="false" hidden="false" name="SOC_min" vbProcedure="false">Исходные!$C$7</definedName>
    <definedName function="false" hidden="false" name="S_task" vbProcedure="false">Исходные!$C$55</definedName>
    <definedName function="false" hidden="false" name="tank_D" vbProcedure="false">Исходные!$C$20</definedName>
    <definedName function="false" hidden="false" name="tau_svc" vbProcedure="false">Исходные!$C$26</definedName>
    <definedName function="false" hidden="false" name="turn_P" vbProcedure="false">Модели!$C$17</definedName>
    <definedName function="false" hidden="false" name="turn_t" vbProcedure="false">Модели!$C$16</definedName>
    <definedName function="false" hidden="false" name="T_av" vbProcedure="false">Исходные!$C$60</definedName>
    <definedName function="false" hidden="false" name="t_ch" vbProcedure="false">Исходные!$C$63</definedName>
    <definedName function="false" hidden="false" name="T_life" vbProcedure="false">Исходные!$C$68</definedName>
    <definedName function="false" hidden="false" name="t_refuel_h" vbProcedure="false">Исходные!$C$21</definedName>
    <definedName function="false" hidden="false" name="T_shift_h" vbProcedure="false">Исходные!$C$25</definedName>
    <definedName function="false" hidden="false" name="t_tr" vbProcedure="false">Исходные!$C$61</definedName>
    <definedName function="false" hidden="false" name="T_year_h" vbProcedure="false">Исходные!$C$40</definedName>
    <definedName function="false" hidden="false" name="usd_kzt" vbProcedure="false">Исходные!$C$31</definedName>
    <definedName function="false" hidden="false" name="v_transp_kmh" vbProcedure="false">Исходные!$C$29</definedName>
    <definedName function="false" hidden="false" name="wage_h" vbProcedure="false">Исходные!$C$65</definedName>
    <definedName function="false" hidden="false" name="wage_month" vbProcedure="false">Исходные!$C$37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<sst xmlns="http://schemas.openxmlformats.org/spreadsheetml/2006/main" count="967" uniqueCount="501">
  <si>
    <t xml:space="preserve">РАСЧЁТЫ К ОТЧЁТУ О НИР</t>
  </si>
  <si>
    <t xml:space="preserve">Рабочая книга</t>
  </si>
  <si>
    <t xml:space="preserve">Сравнительная оценка электротрактора JINMA YL254ET (ЭТ) и дизельного аналога JINMA JM-254 (Д) по результатам полевых испытаний 15.09–15.10.2026</t>
  </si>
  <si>
    <t xml:space="preserve">Назначение</t>
  </si>
  <si>
    <t xml:space="preserve">Расчёт единичных показателей обеих машин, нормированных разностей, весов (МАИ + энтропийный метод) и комплексного показателя I для 16 исследованных режимов; пересчёт при изменении исходных данных</t>
  </si>
  <si>
    <t xml:space="preserve">Как пользоваться</t>
  </si>
  <si>
    <t xml:space="preserve">Изменяйте только ячейки с синим шрифтом на жёлтом фоне на листах «Исходные» и «Веса». Все остальные значения пересчитываются формулами</t>
  </si>
  <si>
    <t xml:space="preserve">Ключевые рычаги</t>
  </si>
  <si>
    <t xml:space="preserve">S_task (сменное задание; 0 — полная смена), T_year_h (годовая загрузка), c_D и c_el (цены), l_charge_km (удалённость зарядки), P_ch_ac (мощность зарядки), цены машин</t>
  </si>
  <si>
    <t xml:space="preserve">Цвета</t>
  </si>
  <si>
    <t xml:space="preserve">синий шрифт — исходные данные; чёрный — формулы; зелёный — ссылки на другие листы; жёлтая заливка — изменяемые ячейки</t>
  </si>
  <si>
    <t xml:space="preserve">Лист «Исходные»</t>
  </si>
  <si>
    <t xml:space="preserve">исходные данные и допущения с источниками и диапазонами вариации (именованные ячейки)</t>
  </si>
  <si>
    <t xml:space="preserve">Лист «Проходы»</t>
  </si>
  <si>
    <t xml:space="preserve">результаты учётных проходов (значения из журналов CAN 1 Гц и полевых журналов) и расчётные показатели проходов (формулы); буксование — по ГОСТ 7057: δ = 1 − N0/N (N — число оборотов двигателя хода на учётной делянке)</t>
  </si>
  <si>
    <t xml:space="preserve">Лист «Опыт_режимы»</t>
  </si>
  <si>
    <t xml:space="preserve">средние по повторностям, стандартные отклонения, доверительные интервалы (формулы AVERAGEIFS и т. п.)</t>
  </si>
  <si>
    <t xml:space="preserve">Лист «Модели»</t>
  </si>
  <si>
    <t xml:space="preserve">коэффициенты моделей: сопротивление передвижению, k = k0 + ε·v² (ЛИНЕЙН), A = A0 + Av·v + Aa·a (ЛИНЕЙН), кривая буксования δ(φ)</t>
  </si>
  <si>
    <t xml:space="preserve">Лист «Энергетика»</t>
  </si>
  <si>
    <t xml:space="preserve">мощности ЭТ и Д, буксование, запас мощности, допустимость режимов, часовой расход топлива Д (ASAE D497.7)</t>
  </si>
  <si>
    <t xml:space="preserve">Лист «Смена»</t>
  </si>
  <si>
    <t xml:space="preserve">модель смены: развороты, автономность, подзарядки (до трёх циклов), сменная выработка, энергия, полученная из сети, расход топлива на 1 га</t>
  </si>
  <si>
    <t xml:space="preserve">Лист «Экономика»</t>
  </si>
  <si>
    <t xml:space="preserve">удельные прямые и совокупные затраты (ГОСТ 34393-2018, ASAE D497.7)</t>
  </si>
  <si>
    <t xml:space="preserve">Лист «Показатели»</t>
  </si>
  <si>
    <t xml:space="preserve">единичные показатели I1–I10 обеих машин, нормированные разности d и комплексный показатель I (для режимов, выполнимых обеими машинами)</t>
  </si>
  <si>
    <t xml:space="preserve">Лист «Веса»</t>
  </si>
  <si>
    <t xml:space="preserve">матрицы парных сравнений МАИ (изменяемые), веса, согласованность; итоговые веса</t>
  </si>
  <si>
    <t xml:space="preserve">Лист «Энтропия»</t>
  </si>
  <si>
    <t xml:space="preserve">энтропийные веса по матрице показателей режимов, реализуемых обеими машинами</t>
  </si>
  <si>
    <t xml:space="preserve">Лист «Устойчивость»</t>
  </si>
  <si>
    <t xml:space="preserve">результаты Монте-Карло (1000 испытаний) и чувствительности — значения из программного комплекса Python (требуют многократного пересчёта)</t>
  </si>
  <si>
    <t xml:space="preserve">Проверка</t>
  </si>
  <si>
    <t xml:space="preserve">при исходных данных по умолчанию значения комплексного показателя совпадают с отчётом (таблица 5.6, сценарий 1); расхождение собственного вектора МАИ и метода геометрического среднего &lt; 0,001</t>
  </si>
  <si>
    <t xml:space="preserve">Обозначение (имя)</t>
  </si>
  <si>
    <t xml:space="preserve">Параметр</t>
  </si>
  <si>
    <t xml:space="preserve">Значение</t>
  </si>
  <si>
    <t xml:space="preserve">Ед.</t>
  </si>
  <si>
    <t xml:space="preserve">Статус, источник</t>
  </si>
  <si>
    <t xml:space="preserve">Мин.</t>
  </si>
  <si>
    <t xml:space="preserve">Макс.</t>
  </si>
  <si>
    <t xml:space="preserve">m_ET</t>
  </si>
  <si>
    <t xml:space="preserve">Масса ЭТ</t>
  </si>
  <si>
    <t xml:space="preserve">кг</t>
  </si>
  <si>
    <t xml:space="preserve">паспорт изготовителя</t>
  </si>
  <si>
    <t xml:space="preserve">m_D</t>
  </si>
  <si>
    <t xml:space="preserve">Масса Д</t>
  </si>
  <si>
    <t xml:space="preserve">TractorData.com</t>
  </si>
  <si>
    <t xml:space="preserve">g</t>
  </si>
  <si>
    <t xml:space="preserve">Ускорение свободного падения</t>
  </si>
  <si>
    <t xml:space="preserve">м/с²</t>
  </si>
  <si>
    <t xml:space="preserve">константа</t>
  </si>
  <si>
    <t xml:space="preserve">E_bat_kWh</t>
  </si>
  <si>
    <t xml:space="preserve">Энергоёмкость батареи</t>
  </si>
  <si>
    <t xml:space="preserve">кВт·ч</t>
  </si>
  <si>
    <t xml:space="preserve">304 А·ч × 76,8 В; подтверждено опытом</t>
  </si>
  <si>
    <t xml:space="preserve">SOC_max</t>
  </si>
  <si>
    <t xml:space="preserve">SOC после зарядки</t>
  </si>
  <si>
    <t xml:space="preserve">%</t>
  </si>
  <si>
    <t xml:space="preserve">опыт</t>
  </si>
  <si>
    <t xml:space="preserve">SOC_min</t>
  </si>
  <si>
    <t xml:space="preserve">Нижняя граница SOC</t>
  </si>
  <si>
    <t xml:space="preserve">порог предупреждения BMS (код 61)</t>
  </si>
  <si>
    <t xml:space="preserve">P_el_lim</t>
  </si>
  <si>
    <t xml:space="preserve">Предельная мощность от батареи</t>
  </si>
  <si>
    <t xml:space="preserve">кВт</t>
  </si>
  <si>
    <t xml:space="preserve">опыт (17,3–17,5 кВт)</t>
  </si>
  <si>
    <t xml:space="preserve">P_mot_1h</t>
  </si>
  <si>
    <t xml:space="preserve">Часовая мощность двигателя хода</t>
  </si>
  <si>
    <t xml:space="preserve">паспорт</t>
  </si>
  <si>
    <t xml:space="preserve">P_aux</t>
  </si>
  <si>
    <t xml:space="preserve">Собственное потребление систем</t>
  </si>
  <si>
    <t xml:space="preserve">eta_ep</t>
  </si>
  <si>
    <t xml:space="preserve">КПД тягового электропривода</t>
  </si>
  <si>
    <t xml:space="preserve">–</t>
  </si>
  <si>
    <t xml:space="preserve">допущение</t>
  </si>
  <si>
    <t xml:space="preserve">eta_tr</t>
  </si>
  <si>
    <t xml:space="preserve">КПД трансмиссии</t>
  </si>
  <si>
    <t xml:space="preserve">P_hyd_idle_D</t>
  </si>
  <si>
    <t xml:space="preserve">Потери гидронасоса Д на холостом ходу</t>
  </si>
  <si>
    <t xml:space="preserve">P_e_nom_D</t>
  </si>
  <si>
    <t xml:space="preserve">Номинальная мощность двигателя Д</t>
  </si>
  <si>
    <t xml:space="preserve">k_pto_D</t>
  </si>
  <si>
    <t xml:space="preserve">Отношение P_ВОМ/P_е для Д</t>
  </si>
  <si>
    <t xml:space="preserve">k_D</t>
  </si>
  <si>
    <t xml:space="preserve">Поправка расхода топлива к ASAE D497.7</t>
  </si>
  <si>
    <t xml:space="preserve">допущение (1,0 — в пользу Д)</t>
  </si>
  <si>
    <t xml:space="preserve">sfc_a</t>
  </si>
  <si>
    <t xml:space="preserve">ASAE D497.7: коэффициент a</t>
  </si>
  <si>
    <t xml:space="preserve">л/(кВт·ч)</t>
  </si>
  <si>
    <t xml:space="preserve">ASAE D497.7</t>
  </si>
  <si>
    <t xml:space="preserve">sfc_b</t>
  </si>
  <si>
    <t xml:space="preserve">ASAE D497.7: коэффициент b</t>
  </si>
  <si>
    <t xml:space="preserve">LHV_D</t>
  </si>
  <si>
    <t xml:space="preserve">Теплота сгорания ДТ</t>
  </si>
  <si>
    <t xml:space="preserve">МДж/л</t>
  </si>
  <si>
    <t xml:space="preserve">справочное</t>
  </si>
  <si>
    <t xml:space="preserve">tank_D</t>
  </si>
  <si>
    <t xml:space="preserve">Топливный бак Д</t>
  </si>
  <si>
    <t xml:space="preserve">л</t>
  </si>
  <si>
    <t xml:space="preserve">t_refuel_h</t>
  </si>
  <si>
    <t xml:space="preserve">Время дозаправки</t>
  </si>
  <si>
    <t xml:space="preserve">ч</t>
  </si>
  <si>
    <t xml:space="preserve">P_ch_ac</t>
  </si>
  <si>
    <t xml:space="preserve">Мощность зарядного устройства</t>
  </si>
  <si>
    <t xml:space="preserve">допущение: разъём 16 А, 230 В</t>
  </si>
  <si>
    <t xml:space="preserve">eta_ch</t>
  </si>
  <si>
    <t xml:space="preserve">КПД зарядного устройства</t>
  </si>
  <si>
    <t xml:space="preserve">eta_bat</t>
  </si>
  <si>
    <t xml:space="preserve">КПД батареи (энергетический)</t>
  </si>
  <si>
    <t xml:space="preserve">T_shift_h</t>
  </si>
  <si>
    <t xml:space="preserve">Продолжительность смены</t>
  </si>
  <si>
    <t xml:space="preserve">принято</t>
  </si>
  <si>
    <t xml:space="preserve">tau_svc</t>
  </si>
  <si>
    <t xml:space="preserve">Доля смены на работу и переезды</t>
  </si>
  <si>
    <t xml:space="preserve">L_run_m</t>
  </si>
  <si>
    <t xml:space="preserve">Длина гона</t>
  </si>
  <si>
    <t xml:space="preserve">м</t>
  </si>
  <si>
    <t xml:space="preserve">l_charge_km</t>
  </si>
  <si>
    <t xml:space="preserve">Удалённость места зарядки</t>
  </si>
  <si>
    <t xml:space="preserve">км</t>
  </si>
  <si>
    <t xml:space="preserve">v_transp_kmh</t>
  </si>
  <si>
    <t xml:space="preserve">Скорость переезда</t>
  </si>
  <si>
    <t xml:space="preserve">км/ч</t>
  </si>
  <si>
    <t xml:space="preserve">P_transp_kW</t>
  </si>
  <si>
    <t xml:space="preserve">Мощность при переезде</t>
  </si>
  <si>
    <t xml:space="preserve">usd_kzt</t>
  </si>
  <si>
    <t xml:space="preserve">Курс доллара США</t>
  </si>
  <si>
    <t xml:space="preserve">тг</t>
  </si>
  <si>
    <t xml:space="preserve">НБРК, 18.10.2026</t>
  </si>
  <si>
    <t xml:space="preserve">price_ET_usd</t>
  </si>
  <si>
    <t xml:space="preserve">Цена ЭТ (FOB)</t>
  </si>
  <si>
    <t xml:space="preserve">$</t>
  </si>
  <si>
    <t xml:space="preserve">Made-in-China, Jiangsu Yueda</t>
  </si>
  <si>
    <t xml:space="preserve">price_D_usd</t>
  </si>
  <si>
    <t xml:space="preserve">Цена Д (FOB)</t>
  </si>
  <si>
    <t xml:space="preserve">Made-in-China, Jinma</t>
  </si>
  <si>
    <t xml:space="preserve">k_landed</t>
  </si>
  <si>
    <t xml:space="preserve">Коэффициент «FOB → цена у дилера»</t>
  </si>
  <si>
    <t xml:space="preserve">1,10 × 1,16 (НДС) × 1,15</t>
  </si>
  <si>
    <t xml:space="preserve">c_el</t>
  </si>
  <si>
    <t xml:space="preserve">Цена электроэнергии с НДС</t>
  </si>
  <si>
    <t xml:space="preserve">тг/(кВт·ч)</t>
  </si>
  <si>
    <t xml:space="preserve">ЭнергоСбыт АЖК с 12.09.2026</t>
  </si>
  <si>
    <t xml:space="preserve">c_D</t>
  </si>
  <si>
    <t xml:space="preserve">Цена дизельного топлива</t>
  </si>
  <si>
    <t xml:space="preserve">тг/л</t>
  </si>
  <si>
    <t xml:space="preserve">средняя розничная, сент.–окт. 2026</t>
  </si>
  <si>
    <t xml:space="preserve">wage_month</t>
  </si>
  <si>
    <t xml:space="preserve">Средняя зарплата в сельском хозяйстве</t>
  </si>
  <si>
    <t xml:space="preserve">тг/мес</t>
  </si>
  <si>
    <t xml:space="preserve">БНС АСПиР РК, II кв. 2026</t>
  </si>
  <si>
    <t xml:space="preserve">h_month</t>
  </si>
  <si>
    <t xml:space="preserve">Рабочих часов в месяце</t>
  </si>
  <si>
    <t xml:space="preserve">k_soc</t>
  </si>
  <si>
    <t xml:space="preserve">Коэффициент начислений на ФОТ</t>
  </si>
  <si>
    <t xml:space="preserve">T_year_h</t>
  </si>
  <si>
    <t xml:space="preserve">Годовая загрузка</t>
  </si>
  <si>
    <t xml:space="preserve">ч/год</t>
  </si>
  <si>
    <t xml:space="preserve">life_y</t>
  </si>
  <si>
    <t xml:space="preserve">Срок службы</t>
  </si>
  <si>
    <t xml:space="preserve">лет</t>
  </si>
  <si>
    <t xml:space="preserve">r_disc</t>
  </si>
  <si>
    <t xml:space="preserve">Реальная ставка дисконтирования</t>
  </si>
  <si>
    <t xml:space="preserve">salvage</t>
  </si>
  <si>
    <t xml:space="preserve">Остаточная стоимость</t>
  </si>
  <si>
    <t xml:space="preserve">доля</t>
  </si>
  <si>
    <t xml:space="preserve">ASAE_RF1</t>
  </si>
  <si>
    <t xml:space="preserve">ASAE D497.7: RF1 (колёсные тракторы)</t>
  </si>
  <si>
    <t xml:space="preserve">ASAE_RF2</t>
  </si>
  <si>
    <t xml:space="preserve">ASAE D497.7: RF2</t>
  </si>
  <si>
    <t xml:space="preserve">k_RM_ET</t>
  </si>
  <si>
    <t xml:space="preserve">Доля затрат на ремонт и ТО ЭТ от Д</t>
  </si>
  <si>
    <t xml:space="preserve">bat_usd_kWh</t>
  </si>
  <si>
    <t xml:space="preserve">Стоимость замены батареи</t>
  </si>
  <si>
    <t xml:space="preserve">$/(кВт·ч)</t>
  </si>
  <si>
    <t xml:space="preserve">2,5 × BNEF-2025 LFP</t>
  </si>
  <si>
    <t xml:space="preserve">bat_cycles</t>
  </si>
  <si>
    <t xml:space="preserve">Цикловой ресурс батареи</t>
  </si>
  <si>
    <t xml:space="preserve">циклов</t>
  </si>
  <si>
    <t xml:space="preserve">bat_cal_y</t>
  </si>
  <si>
    <t xml:space="preserve">Календарный ресурс батареи</t>
  </si>
  <si>
    <t xml:space="preserve">EF_grid</t>
  </si>
  <si>
    <t xml:space="preserve">Коэффициент выбросов CO2 энергосистемы РК</t>
  </si>
  <si>
    <t xml:space="preserve">кг/(кВт·ч)</t>
  </si>
  <si>
    <t xml:space="preserve">IEA-2025 (через ABB)</t>
  </si>
  <si>
    <t xml:space="preserve">EF_D</t>
  </si>
  <si>
    <t xml:space="preserve">Коэффициент выбросов CO2 при сжигании ДТ</t>
  </si>
  <si>
    <t xml:space="preserve">кг/л</t>
  </si>
  <si>
    <t xml:space="preserve">IPCC 2006</t>
  </si>
  <si>
    <t xml:space="preserve">PEF_el</t>
  </si>
  <si>
    <t xml:space="preserve">Коэффициент первичной энергии электроэнергии</t>
  </si>
  <si>
    <t xml:space="preserve">Директива 2012/27/ЕС</t>
  </si>
  <si>
    <t xml:space="preserve">PEF_D</t>
  </si>
  <si>
    <t xml:space="preserve">Коэффициент первичной энергии ДТ</t>
  </si>
  <si>
    <t xml:space="preserve">JEC WTW v5</t>
  </si>
  <si>
    <t xml:space="preserve">slip_max</t>
  </si>
  <si>
    <t xml:space="preserve">Допустимое буксование (номинальное тяговое усилие 4К4)</t>
  </si>
  <si>
    <t xml:space="preserve">ГОСТ 27021-86</t>
  </si>
  <si>
    <t xml:space="preserve">S_task</t>
  </si>
  <si>
    <t xml:space="preserve">Сменное задание (0 — полная смена: задание = выработке Д)</t>
  </si>
  <si>
    <t xml:space="preserve">га/смену</t>
  </si>
  <si>
    <t xml:space="preserve">сценарий</t>
  </si>
  <si>
    <t xml:space="preserve">alpha_w</t>
  </si>
  <si>
    <t xml:space="preserve">Доля экспертных весов в итоговых</t>
  </si>
  <si>
    <t xml:space="preserve">методика (0,5)</t>
  </si>
  <si>
    <t xml:space="preserve">Производные величины</t>
  </si>
  <si>
    <t xml:space="preserve">E_use</t>
  </si>
  <si>
    <t xml:space="preserve">Используемый запас энергии, кВт·ч</t>
  </si>
  <si>
    <t xml:space="preserve">T_av</t>
  </si>
  <si>
    <t xml:space="preserve">Время смены на работу и переезды, ч</t>
  </si>
  <si>
    <t xml:space="preserve">t_tr</t>
  </si>
  <si>
    <t xml:space="preserve">Время переезда в одну сторону, ч</t>
  </si>
  <si>
    <t xml:space="preserve">E_tr</t>
  </si>
  <si>
    <t xml:space="preserve">Энергия переезда ЭТ в одну сторону, кВт·ч</t>
  </si>
  <si>
    <t xml:space="preserve">t_ch</t>
  </si>
  <si>
    <t xml:space="preserve">Время полной подзарядки, ч</t>
  </si>
  <si>
    <t xml:space="preserve">P_pto_nom</t>
  </si>
  <si>
    <t xml:space="preserve">Номинальная мощность ВОМ Д, кВт</t>
  </si>
  <si>
    <t xml:space="preserve">wage_h</t>
  </si>
  <si>
    <t xml:space="preserve">Стоимость часа работы тракториста, тг/ч</t>
  </si>
  <si>
    <t xml:space="preserve">price_ET</t>
  </si>
  <si>
    <t xml:space="preserve">Цена ЭТ у дилера, тг</t>
  </si>
  <si>
    <t xml:space="preserve">price_D</t>
  </si>
  <si>
    <t xml:space="preserve">Цена Д у дилера, тг</t>
  </si>
  <si>
    <t xml:space="preserve">T_life</t>
  </si>
  <si>
    <t xml:space="preserve">Наработка за срок службы, ч</t>
  </si>
  <si>
    <t xml:space="preserve">rm_h_D</t>
  </si>
  <si>
    <t xml:space="preserve">Средние затраты на ремонт и ТО Д, тг/ч</t>
  </si>
  <si>
    <t xml:space="preserve">k_CRF</t>
  </si>
  <si>
    <t xml:space="preserve">Коэффициент возврата капитала</t>
  </si>
  <si>
    <t xml:space="preserve">k_SFF</t>
  </si>
  <si>
    <t xml:space="preserve">Коэффициент фонда возмещения</t>
  </si>
  <si>
    <t xml:space="preserve">C_bat</t>
  </si>
  <si>
    <t xml:space="preserve">Стоимость замены батареи, тг</t>
  </si>
  <si>
    <t xml:space="preserve">Q_turn</t>
  </si>
  <si>
    <t xml:space="preserve">Расход топлива Д на развороте, л/ч</t>
  </si>
  <si>
    <t xml:space="preserve">Q_tr</t>
  </si>
  <si>
    <t xml:space="preserve">Расход топлива Д на переезде, л/ч</t>
  </si>
  <si>
    <t xml:space="preserve">Машина</t>
  </si>
  <si>
    <t xml:space="preserve">Сессия</t>
  </si>
  <si>
    <t xml:space="preserve">Проход</t>
  </si>
  <si>
    <t xml:space="preserve">Блок</t>
  </si>
  <si>
    <t xml:space="preserve">Вид</t>
  </si>
  <si>
    <t xml:space="preserve">a_пл, м</t>
  </si>
  <si>
    <t xml:space="preserve">v_пл, км/ч</t>
  </si>
  <si>
    <t xml:space="preserve">Диапазон</t>
  </si>
  <si>
    <t xml:space="preserve">n, с</t>
  </si>
  <si>
    <t xml:space="preserve">P̄, кВт</t>
  </si>
  <si>
    <t xml:space="preserve">s_P, кВт</t>
  </si>
  <si>
    <t xml:space="preserve">N, об</t>
  </si>
  <si>
    <t xml:space="preserve">v, км/ч</t>
  </si>
  <si>
    <t xml:space="preserve">a, м</t>
  </si>
  <si>
    <t xml:space="preserve">s_a, м</t>
  </si>
  <si>
    <t xml:space="preserve">B, м</t>
  </si>
  <si>
    <t xml:space="preserve">n_ВОМ, мин⁻¹</t>
  </si>
  <si>
    <t xml:space="preserve">W0, га/ч</t>
  </si>
  <si>
    <t xml:space="preserve">e, кВт·ч/га</t>
  </si>
  <si>
    <t xml:space="preserve">δ</t>
  </si>
  <si>
    <t xml:space="preserve">e_V, кДж/м³</t>
  </si>
  <si>
    <t xml:space="preserve">v², м²/с²</t>
  </si>
  <si>
    <t xml:space="preserve">F_к, Н</t>
  </si>
  <si>
    <t xml:space="preserve">R, Н</t>
  </si>
  <si>
    <t xml:space="preserve">k, кН/м²</t>
  </si>
  <si>
    <t xml:space="preserve">φ</t>
  </si>
  <si>
    <t xml:space="preserve">A, кДж/м³</t>
  </si>
  <si>
    <t xml:space="preserve">(P−P_aux)/v, кВт·с/м</t>
  </si>
  <si>
    <t xml:space="preserve">культиватор</t>
  </si>
  <si>
    <t xml:space="preserve">C</t>
  </si>
  <si>
    <t xml:space="preserve">холостой</t>
  </si>
  <si>
    <t xml:space="preserve">L</t>
  </si>
  <si>
    <t xml:space="preserve">рабочий</t>
  </si>
  <si>
    <t xml:space="preserve">фреза</t>
  </si>
  <si>
    <t xml:space="preserve">T1</t>
  </si>
  <si>
    <t xml:space="preserve">П2</t>
  </si>
  <si>
    <t xml:space="preserve">T2</t>
  </si>
  <si>
    <t xml:space="preserve">П1</t>
  </si>
  <si>
    <t xml:space="preserve">П3</t>
  </si>
  <si>
    <t xml:space="preserve">Имя</t>
  </si>
  <si>
    <t xml:space="preserve">Коэффициент</t>
  </si>
  <si>
    <t xml:space="preserve">Формула / способ определения</t>
  </si>
  <si>
    <t xml:space="preserve">f_roll</t>
  </si>
  <si>
    <t xml:space="preserve">Коэффициент сопротивления передвижению</t>
  </si>
  <si>
    <t xml:space="preserve">по холостым проходам с культиватором (F_к/G)</t>
  </si>
  <si>
    <t xml:space="preserve">k_0</t>
  </si>
  <si>
    <t xml:space="preserve">k0 – удельное сопротивление при v → 0</t>
  </si>
  <si>
    <t xml:space="preserve">Н/м²</t>
  </si>
  <si>
    <t xml:space="preserve">ЛИНЕЙН(k; v²)</t>
  </si>
  <si>
    <t xml:space="preserve">eps</t>
  </si>
  <si>
    <t xml:space="preserve">ε – скоростной коэффициент</t>
  </si>
  <si>
    <t xml:space="preserve">Н·с²/м⁴</t>
  </si>
  <si>
    <t xml:space="preserve">R2_k</t>
  </si>
  <si>
    <t xml:space="preserve">R² модели k</t>
  </si>
  <si>
    <t xml:space="preserve">ЛИНЕЙН, статистика</t>
  </si>
  <si>
    <t xml:space="preserve">phi_max</t>
  </si>
  <si>
    <t xml:space="preserve">φ_max кривой буксования</t>
  </si>
  <si>
    <t xml:space="preserve">нелинейный МНК (Python, scipy.curve_fit); значение</t>
  </si>
  <si>
    <t xml:space="preserve">k_slip</t>
  </si>
  <si>
    <t xml:space="preserve">k_δ кривой буксования</t>
  </si>
  <si>
    <t xml:space="preserve">нелинейный МНК (Python); значение</t>
  </si>
  <si>
    <t xml:space="preserve">c_move</t>
  </si>
  <si>
    <t xml:space="preserve">Удельная мощность передвижения с фрезой</t>
  </si>
  <si>
    <t xml:space="preserve">кВт·с/м</t>
  </si>
  <si>
    <t xml:space="preserve">(P − P_aux)/v по холостым проходам с фрезой на П2</t>
  </si>
  <si>
    <t xml:space="preserve">P_rot0</t>
  </si>
  <si>
    <t xml:space="preserve">Мощность холостого вращения ротора сверх P_aux</t>
  </si>
  <si>
    <t xml:space="preserve">опыт: холостое вращение ротора, ВОМ 540</t>
  </si>
  <si>
    <t xml:space="preserve">A_0</t>
  </si>
  <si>
    <t xml:space="preserve">A0</t>
  </si>
  <si>
    <t xml:space="preserve">кДж/м³</t>
  </si>
  <si>
    <t xml:space="preserve">ЛИНЕЙН(A; v, a)</t>
  </si>
  <si>
    <t xml:space="preserve">A_v</t>
  </si>
  <si>
    <t xml:space="preserve">Av</t>
  </si>
  <si>
    <t xml:space="preserve">кДж/(м³·км/ч)</t>
  </si>
  <si>
    <t xml:space="preserve">A_a</t>
  </si>
  <si>
    <t xml:space="preserve">Aa</t>
  </si>
  <si>
    <t xml:space="preserve">кДж/(м³·м)</t>
  </si>
  <si>
    <t xml:space="preserve">slip_till_meas</t>
  </si>
  <si>
    <t xml:space="preserve">Буксование с фрезой (среднее по проходам на П2)</t>
  </si>
  <si>
    <t xml:space="preserve">справочно; δ = 1 − N0/N</t>
  </si>
  <si>
    <t xml:space="preserve">slip_till</t>
  </si>
  <si>
    <t xml:space="preserve">Буксование с фрезой, принятое в расчёте</t>
  </si>
  <si>
    <t xml:space="preserve">принято 0 (измеренное значение пренебрежимо мало)</t>
  </si>
  <si>
    <t xml:space="preserve">cv_P</t>
  </si>
  <si>
    <t xml:space="preserve">Коэффициент вариации мощности (медиана)</t>
  </si>
  <si>
    <t xml:space="preserve">медиана s_P/P̄ по рабочим проходам</t>
  </si>
  <si>
    <t xml:space="preserve">turn_t</t>
  </si>
  <si>
    <t xml:space="preserve">Продолжительность разворота</t>
  </si>
  <si>
    <t xml:space="preserve">с</t>
  </si>
  <si>
    <t xml:space="preserve">turn_P</t>
  </si>
  <si>
    <t xml:space="preserve">Мощность на развороте</t>
  </si>
  <si>
    <t xml:space="preserve">n</t>
  </si>
  <si>
    <t xml:space="preserve">s_P</t>
  </si>
  <si>
    <t xml:space="preserve">Δ0,95 P</t>
  </si>
  <si>
    <t xml:space="preserve">s_e</t>
  </si>
  <si>
    <t xml:space="preserve">Δ0,95 e</t>
  </si>
  <si>
    <t xml:space="preserve">v, м/с</t>
  </si>
  <si>
    <t xml:space="preserve">A, кДж/м³ (фреза)</t>
  </si>
  <si>
    <t xml:space="preserve">φ ЭТ</t>
  </si>
  <si>
    <t xml:space="preserve">δ ЭТ</t>
  </si>
  <si>
    <t xml:space="preserve">φ Д</t>
  </si>
  <si>
    <t xml:space="preserve">δ Д</t>
  </si>
  <si>
    <t xml:space="preserve">P_эл ЭТ, кВт</t>
  </si>
  <si>
    <t xml:space="preserve">P_вх ЭТ, кВт</t>
  </si>
  <si>
    <t xml:space="preserve">P_вх Д, кВт</t>
  </si>
  <si>
    <t xml:space="preserve">Запас мощности ЭТ</t>
  </si>
  <si>
    <t xml:space="preserve">Запас мощности Д</t>
  </si>
  <si>
    <t xml:space="preserve">Допустим ЭТ</t>
  </si>
  <si>
    <t xml:space="preserve">Допустим Д</t>
  </si>
  <si>
    <t xml:space="preserve">Длительный ЭТ</t>
  </si>
  <si>
    <t xml:space="preserve">Q Д, л/ч</t>
  </si>
  <si>
    <t xml:space="preserve">X Д</t>
  </si>
  <si>
    <t xml:space="preserve">Режим</t>
  </si>
  <si>
    <t xml:space="preserve">n_пов, 1/га</t>
  </si>
  <si>
    <t xml:space="preserve">t_га, ч/га</t>
  </si>
  <si>
    <t xml:space="preserve">e_акб, кВт·ч/га</t>
  </si>
  <si>
    <t xml:space="preserve">Мощность цикла, кВт</t>
  </si>
  <si>
    <t xml:space="preserve">t_авт ЭТ, ч</t>
  </si>
  <si>
    <t xml:space="preserve">A_зар, га</t>
  </si>
  <si>
    <t xml:space="preserve">Работа на зарядке, ч</t>
  </si>
  <si>
    <t xml:space="preserve">w1, ч</t>
  </si>
  <si>
    <t xml:space="preserve">Подзаряд. 1</t>
  </si>
  <si>
    <t xml:space="preserve">w2, ч</t>
  </si>
  <si>
    <t xml:space="preserve">Подзаряд. 2</t>
  </si>
  <si>
    <t xml:space="preserve">w3, ч</t>
  </si>
  <si>
    <t xml:space="preserve">Подзарядок</t>
  </si>
  <si>
    <t xml:space="preserve">S_см ЭТ, га</t>
  </si>
  <si>
    <t xml:space="preserve">e_сеть, кВт·ч/га</t>
  </si>
  <si>
    <t xml:space="preserve">q0, л/га</t>
  </si>
  <si>
    <t xml:space="preserve">Q_ср, л/ч</t>
  </si>
  <si>
    <t xml:space="preserve">t_авт Д, ч</t>
  </si>
  <si>
    <t xml:space="preserve">Дозаправок</t>
  </si>
  <si>
    <t xml:space="preserve">S_см Д, га</t>
  </si>
  <si>
    <t xml:space="preserve">q, л/га</t>
  </si>
  <si>
    <t xml:space="preserve">A_бак, га</t>
  </si>
  <si>
    <t xml:space="preserve">Труд ЭТ, тг/га</t>
  </si>
  <si>
    <t xml:space="preserve">Труд Д, тг/га</t>
  </si>
  <si>
    <t xml:space="preserve">Энергия ЭТ, тг/га</t>
  </si>
  <si>
    <t xml:space="preserve">Топливо Д, тг/га</t>
  </si>
  <si>
    <t xml:space="preserve">Ремонт ЭТ, тг/га</t>
  </si>
  <si>
    <t xml:space="preserve">Ремонт Д, тг/га</t>
  </si>
  <si>
    <t xml:space="preserve">A_год, га</t>
  </si>
  <si>
    <t xml:space="preserve">Циклов/год</t>
  </si>
  <si>
    <t xml:space="preserve">Ресурс батареи, лет</t>
  </si>
  <si>
    <t xml:space="preserve">Замен батареи</t>
  </si>
  <si>
    <t xml:space="preserve">Капит. ЭТ, тг/га</t>
  </si>
  <si>
    <t xml:space="preserve">Капит. Д, тг/га</t>
  </si>
  <si>
    <t xml:space="preserve">C_пр ЭТ, тг/га</t>
  </si>
  <si>
    <t xml:space="preserve">C_пр Д, тг/га</t>
  </si>
  <si>
    <t xml:space="preserve">C_сов ЭТ, тг/га</t>
  </si>
  <si>
    <t xml:space="preserve">C_сов Д, тг/га</t>
  </si>
  <si>
    <t xml:space="preserve">Матрица парных сравнений групп (изменяемая: верхний треугольник; нижний — обратные значения)</t>
  </si>
  <si>
    <t xml:space="preserve">Группа</t>
  </si>
  <si>
    <t xml:space="preserve">Энергет.</t>
  </si>
  <si>
    <t xml:space="preserve">Технолог.</t>
  </si>
  <si>
    <t xml:space="preserve">Экономич.</t>
  </si>
  <si>
    <t xml:space="preserve">Экологич.</t>
  </si>
  <si>
    <t xml:space="preserve">Автономн.</t>
  </si>
  <si>
    <t xml:space="preserve">Геом. среднее</t>
  </si>
  <si>
    <t xml:space="preserve">Вес w</t>
  </si>
  <si>
    <t xml:space="preserve">(A·w)ᵢ/wᵢ</t>
  </si>
  <si>
    <t xml:space="preserve">Энергетические</t>
  </si>
  <si>
    <t xml:space="preserve">Технологические</t>
  </si>
  <si>
    <t xml:space="preserve">Экономические</t>
  </si>
  <si>
    <t xml:space="preserve">Экологические</t>
  </si>
  <si>
    <t xml:space="preserve">Автономность</t>
  </si>
  <si>
    <t xml:space="preserve">wᵀ</t>
  </si>
  <si>
    <t xml:space="preserve">λ_max</t>
  </si>
  <si>
    <t xml:space="preserve">CI</t>
  </si>
  <si>
    <t xml:space="preserve">CR (RI = 1,12)</t>
  </si>
  <si>
    <t xml:space="preserve">Локальные матрицы (внутри групп)</t>
  </si>
  <si>
    <t xml:space="preserve">I1</t>
  </si>
  <si>
    <t xml:space="preserve">I2</t>
  </si>
  <si>
    <t xml:space="preserve">Геом. ср.</t>
  </si>
  <si>
    <t xml:space="preserve">Лок. вес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</si>
  <si>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</si>
  <si>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</si>
  <si>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</si>
  <si>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</si>
  <si>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</si>
  <si>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</si>
  <si>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I9</t>
  </si>
  <si>
    <t xml:space="preserve">I10</t>
  </si>
  <si>
    <t xml:space="preserve">Итоговые веса</t>
  </si>
  <si>
    <t xml:space="preserve">Код</t>
  </si>
  <si>
    <t xml:space="preserve">w МАИ</t>
  </si>
  <si>
    <t xml:space="preserve">w энтроп.</t>
  </si>
  <si>
    <t xml:space="preserve">w итог</t>
  </si>
  <si>
    <t xml:space="preserve">Допустим ЭТ и Д</t>
  </si>
  <si>
    <t xml:space="preserve">S_зад, га</t>
  </si>
  <si>
    <t xml:space="preserve">I1 ЭТ</t>
  </si>
  <si>
    <t xml:space="preserve">I2 ЭТ</t>
  </si>
  <si>
    <t xml:space="preserve">I3 ЭТ</t>
  </si>
  <si>
    <t xml:space="preserve">I4 ЭТ</t>
  </si>
  <si>
    <t xml:space="preserve">I5 ЭТ</t>
  </si>
  <si>
    <t xml:space="preserve">I6 ЭТ</t>
  </si>
  <si>
    <t xml:space="preserve">I7 ЭТ</t>
  </si>
  <si>
    <t xml:space="preserve">I8 ЭТ</t>
  </si>
  <si>
    <t xml:space="preserve">I9 ЭТ</t>
  </si>
  <si>
    <t xml:space="preserve">I10 ЭТ</t>
  </si>
  <si>
    <t xml:space="preserve">I1 Д</t>
  </si>
  <si>
    <t xml:space="preserve">I2 Д</t>
  </si>
  <si>
    <t xml:space="preserve">I3 Д</t>
  </si>
  <si>
    <t xml:space="preserve">I4 Д</t>
  </si>
  <si>
    <t xml:space="preserve">I5 Д</t>
  </si>
  <si>
    <t xml:space="preserve">I6 Д</t>
  </si>
  <si>
    <t xml:space="preserve">I7 Д</t>
  </si>
  <si>
    <t xml:space="preserve">I8 Д</t>
  </si>
  <si>
    <t xml:space="preserve">I9 Д</t>
  </si>
  <si>
    <t xml:space="preserve">I10 Д</t>
  </si>
  <si>
    <t xml:space="preserve">d I1</t>
  </si>
  <si>
    <t xml:space="preserve">d I2</t>
  </si>
  <si>
    <t xml:space="preserve">d I3</t>
  </si>
  <si>
    <t xml:space="preserve">d I4</t>
  </si>
  <si>
    <t xml:space="preserve">d I5</t>
  </si>
  <si>
    <t xml:space="preserve">d I6</t>
  </si>
  <si>
    <t xml:space="preserve">d I7</t>
  </si>
  <si>
    <t xml:space="preserve">d I8</t>
  </si>
  <si>
    <t xml:space="preserve">d I9</t>
  </si>
  <si>
    <t xml:space="preserve">d I10</t>
  </si>
  <si>
    <t xml:space="preserve">Комплексный показатель I</t>
  </si>
  <si>
    <t xml:space="preserve">Альтернатива</t>
  </si>
  <si>
    <t xml:space="preserve">Допустим</t>
  </si>
  <si>
    <t xml:space="preserve">z I1</t>
  </si>
  <si>
    <t xml:space="preserve">z I2</t>
  </si>
  <si>
    <t xml:space="preserve">z I3</t>
  </si>
  <si>
    <t xml:space="preserve">z I4</t>
  </si>
  <si>
    <t xml:space="preserve">z I5</t>
  </si>
  <si>
    <t xml:space="preserve">z I6</t>
  </si>
  <si>
    <t xml:space="preserve">z I7</t>
  </si>
  <si>
    <t xml:space="preserve">z I8</t>
  </si>
  <si>
    <t xml:space="preserve">z I9</t>
  </si>
  <si>
    <t xml:space="preserve">z I10</t>
  </si>
  <si>
    <t xml:space="preserve">p·ln p I1</t>
  </si>
  <si>
    <t xml:space="preserve">p·ln p I2</t>
  </si>
  <si>
    <t xml:space="preserve">p·ln p I3</t>
  </si>
  <si>
    <t xml:space="preserve">p·ln p I4</t>
  </si>
  <si>
    <t xml:space="preserve">p·ln p I5</t>
  </si>
  <si>
    <t xml:space="preserve">p·ln p I6</t>
  </si>
  <si>
    <t xml:space="preserve">p·ln p I7</t>
  </si>
  <si>
    <t xml:space="preserve">p·ln p I8</t>
  </si>
  <si>
    <t xml:space="preserve">p·ln p I9</t>
  </si>
  <si>
    <t xml:space="preserve">p·ln p I10</t>
  </si>
  <si>
    <t xml:space="preserve">m (допустимых)</t>
  </si>
  <si>
    <t xml:space="preserve">min</t>
  </si>
  <si>
    <t xml:space="preserve">max</t>
  </si>
  <si>
    <t xml:space="preserve">Σ z</t>
  </si>
  <si>
    <t xml:space="preserve">Энтропия E</t>
  </si>
  <si>
    <t xml:space="preserve">Энтропийный вес</t>
  </si>
  <si>
    <t xml:space="preserve">Сценарий</t>
  </si>
  <si>
    <t xml:space="preserve">I среднее</t>
  </si>
  <si>
    <t xml:space="preserve">I 5 %</t>
  </si>
  <si>
    <t xml:space="preserve">I 95 %</t>
  </si>
  <si>
    <t xml:space="preserve">P(I&gt;0)</t>
  </si>
  <si>
    <t xml:space="preserve">P(C_сов ЭТ &lt; Д)</t>
  </si>
  <si>
    <t xml:space="preserve">Значения получены программой src/analysis.py (1000 испытаний Монте-Карло: параметры — равномерно в диапазонах листа «Исходные», веса — распределение Дирихле с параметром 50·w). S1 — полная смена, S2 — задание 0,5 га.</t>
  </si>
  <si>
    <t xml:space="preserve">S1</t>
  </si>
  <si>
    <t xml:space="preserve">S2</t>
  </si>
  <si>
    <t xml:space="preserve">SRC S1</t>
  </si>
  <si>
    <t xml:space="preserve">SRC S2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</si>
</sst>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"/>
    <numFmt numFmtId="166" formatCode="0.000"/>
    <numFmt numFmtId="167" formatCode="0.00"/>
    <numFmt numFmtId="168" formatCode="0.0"/>
    <numFmt numFmtId="169" formatCode="0"/>
    <numFmt numFmtId="170" formatCode="0.0000"/>
    <numFmt numFmtId="171" formatCode="0.0%"/>
    <numFmt numFmtId="172" formatCode="General"/>
    <numFmt numFmtId="173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color rgb="FF008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A78D6"/>
        <bgColor rgb="FF4F81BD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Комплексный показатель I по режимам (I &gt; 0 — преимущество ЭТ)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Показатели!AH1</c:f>
              <c:strCache>
                <c:ptCount val="1"/>
                <c:pt idx="0">
                  <c:v>Комплексный показатель 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Показатели!$A$2:$A$17</c:f>
              <c:strCache>
                <c:ptCount val="16"/>
                <c:pt idx="0">
                  <c:v>культиватор 0.08×3.6</c:v>
                </c:pt>
                <c:pt idx="1">
                  <c:v>культиватор 0.08×4.5</c:v>
                </c:pt>
                <c:pt idx="2">
                  <c:v>культиватор 0.08×5.4</c:v>
                </c:pt>
                <c:pt idx="3">
                  <c:v>культиватор 0.11×3.6</c:v>
                </c:pt>
                <c:pt idx="4">
                  <c:v>культиватор 0.11×4.5</c:v>
                </c:pt>
                <c:pt idx="5">
                  <c:v>культиватор 0.11×5.4</c:v>
                </c:pt>
                <c:pt idx="6">
                  <c:v>культиватор 0.14×3.6</c:v>
                </c:pt>
                <c:pt idx="7">
                  <c:v>культиватор 0.14×4.5</c:v>
                </c:pt>
                <c:pt idx="8">
                  <c:v>фреза 0.08×1.8</c:v>
                </c:pt>
                <c:pt idx="9">
                  <c:v>фреза 0.08×2.7</c:v>
                </c:pt>
                <c:pt idx="10">
                  <c:v>фреза 0.08×3.6</c:v>
                </c:pt>
                <c:pt idx="11">
                  <c:v>фреза 0.12×1.8</c:v>
                </c:pt>
                <c:pt idx="12">
                  <c:v>фреза 0.12×2.7</c:v>
                </c:pt>
                <c:pt idx="13">
                  <c:v>фреза 0.12×3.6</c:v>
                </c:pt>
                <c:pt idx="14">
                  <c:v>фреза 0.16×1.8</c:v>
                </c:pt>
                <c:pt idx="15">
                  <c:v>фреза 0.16×2.7</c:v>
                </c:pt>
              </c:strCache>
            </c:strRef>
          </c:cat>
          <c:val>
            <c:numRef>
              <c:f>Показатели!$AH$2:$AH$17</c:f>
              <c:numCache>
                <c:formatCode>0.000</c:formatCode>
                <c:ptCount val="16"/>
                <c:pt idx="0">
                  <c:v>0.0192507100427242</c:v>
                </c:pt>
                <c:pt idx="1">
                  <c:v>-0.0210412573619323</c:v>
                </c:pt>
                <c:pt idx="2">
                  <c:v>-0.036728954152645</c:v>
                </c:pt>
                <c:pt idx="3">
                  <c:v>-0.0177951833990991</c:v>
                </c:pt>
                <c:pt idx="4">
                  <c:v>-0.0361885484169353</c:v>
                </c:pt>
                <c:pt idx="5">
                  <c:v>-0.0659112675695613</c:v>
                </c:pt>
                <c:pt idx="8">
                  <c:v>0.00195927823069966</c:v>
                </c:pt>
                <c:pt idx="9">
                  <c:v>-0.0408065793542917</c:v>
                </c:pt>
                <c:pt idx="10">
                  <c:v>-0.0552696720316653</c:v>
                </c:pt>
                <c:pt idx="11">
                  <c:v>-0.0414085438954833</c:v>
                </c:pt>
                <c:pt idx="12">
                  <c:v>-0.0669547731598334</c:v>
                </c:pt>
                <c:pt idx="13">
                  <c:v>-0.106706428741133</c:v>
                </c:pt>
                <c:pt idx="14">
                  <c:v>-0.0594334322477936</c:v>
                </c:pt>
              </c:numCache>
            </c:numRef>
          </c:val>
        </c:ser>
        <c:gapWidth val="150"/>
        <c:overlap val="0"/>
        <c:axId val="76014858"/>
        <c:axId val="70081143"/>
      </c:barChart>
      <c:catAx>
        <c:axId val="760148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81143"/>
        <c:crosses val="autoZero"/>
        <c:auto val="1"/>
        <c:lblAlgn val="ctr"/>
        <c:lblOffset val="100"/>
        <c:noMultiLvlLbl val="0"/>
      </c:catAx>
      <c:valAx>
        <c:axId val="70081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148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12</xdr:col>
      <xdr:colOff>151200</xdr:colOff>
      <xdr:row>39</xdr:row>
      <xdr:rowOff>149760</xdr:rowOff>
    </xdr:to>
    <xdr:graphicFrame>
      <xdr:nvGraphicFramePr>
        <xdr:cNvPr id="0" name="Chart 1"/>
        <xdr:cNvGraphicFramePr/>
      </xdr:nvGraphicFramePr>
      <xdr:xfrm>
        <a:off x="1127880" y="4000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25.35" hidden="false" customHeight="false" outlineLevel="0" collapsed="false">
      <c r="A3" s="2" t="s">
        <v>1</v>
      </c>
      <c r="B3" s="3" t="s">
        <v>2</v>
      </c>
    </row>
    <row r="4" customFormat="false" ht="25.35" hidden="false" customHeight="false" outlineLevel="0" collapsed="false">
      <c r="A4" s="2" t="s">
        <v>3</v>
      </c>
      <c r="B4" s="3" t="s">
        <v>4</v>
      </c>
    </row>
    <row r="5" customFormat="false" ht="25.35" hidden="false" customHeight="false" outlineLevel="0" collapsed="false">
      <c r="A5" s="2" t="s">
        <v>5</v>
      </c>
      <c r="B5" s="3" t="s">
        <v>6</v>
      </c>
    </row>
    <row r="6" customFormat="false" ht="25.35" hidden="false" customHeight="false" outlineLevel="0" collapsed="false">
      <c r="A6" s="2" t="s">
        <v>7</v>
      </c>
      <c r="B6" s="3" t="s">
        <v>8</v>
      </c>
    </row>
    <row r="7" customFormat="false" ht="25.3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37.3" hidden="false" customHeight="false" outlineLevel="0" collapsed="false">
      <c r="A9" s="2" t="s">
        <v>13</v>
      </c>
      <c r="B9" s="3" t="s">
        <v>14</v>
      </c>
    </row>
    <row r="10" customFormat="false" ht="25.35" hidden="false" customHeight="false" outlineLevel="0" collapsed="false">
      <c r="A10" s="2" t="s">
        <v>15</v>
      </c>
      <c r="B10" s="3" t="s">
        <v>16</v>
      </c>
    </row>
    <row r="11" customFormat="false" ht="25.35" hidden="false" customHeight="false" outlineLevel="0" collapsed="false">
      <c r="A11" s="2" t="s">
        <v>17</v>
      </c>
      <c r="B11" s="3" t="s">
        <v>18</v>
      </c>
    </row>
    <row r="12" customFormat="false" ht="25.35" hidden="false" customHeight="false" outlineLevel="0" collapsed="false">
      <c r="A12" s="2" t="s">
        <v>19</v>
      </c>
      <c r="B12" s="3" t="s">
        <v>20</v>
      </c>
    </row>
    <row r="13" customFormat="false" ht="25.3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25.35" hidden="false" customHeight="false" outlineLevel="0" collapsed="false">
      <c r="A15" s="2" t="s">
        <v>25</v>
      </c>
      <c r="B15" s="3" t="s">
        <v>26</v>
      </c>
    </row>
    <row r="16" customFormat="false" ht="15" hidden="false" customHeight="false" outlineLevel="0" collapsed="false">
      <c r="A16" s="2" t="s">
        <v>27</v>
      </c>
      <c r="B16" s="3" t="s">
        <v>28</v>
      </c>
    </row>
    <row r="17" customFormat="false" ht="15" hidden="false" customHeight="false" outlineLevel="0" collapsed="false">
      <c r="A17" s="2" t="s">
        <v>29</v>
      </c>
      <c r="B17" s="3" t="s">
        <v>30</v>
      </c>
    </row>
    <row r="18" customFormat="false" ht="25.35" hidden="false" customHeight="false" outlineLevel="0" collapsed="false">
      <c r="A18" s="2" t="s">
        <v>31</v>
      </c>
      <c r="B18" s="3" t="s">
        <v>32</v>
      </c>
    </row>
    <row r="19" customFormat="false" ht="25.35" hidden="false" customHeight="false" outlineLevel="0" collapsed="false">
      <c r="A19" s="2" t="s">
        <v>33</v>
      </c>
      <c r="B19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7" min="6" style="0" width="10"/>
  </cols>
  <sheetData>
    <row r="1" customFormat="false" ht="45" hidden="false" customHeight="true" outlineLevel="0" collapsed="false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</row>
    <row r="2" customFormat="false" ht="15" hidden="false" customHeight="false" outlineLevel="0" collapsed="false">
      <c r="A2" s="5" t="s">
        <v>42</v>
      </c>
      <c r="B2" s="6" t="s">
        <v>43</v>
      </c>
      <c r="C2" s="7" t="n">
        <v>1300</v>
      </c>
      <c r="D2" s="6" t="s">
        <v>44</v>
      </c>
      <c r="E2" s="6" t="s">
        <v>45</v>
      </c>
      <c r="F2" s="6"/>
      <c r="G2" s="6"/>
    </row>
    <row r="3" customFormat="false" ht="15" hidden="false" customHeight="false" outlineLevel="0" collapsed="false">
      <c r="A3" s="5" t="s">
        <v>46</v>
      </c>
      <c r="B3" s="6" t="s">
        <v>47</v>
      </c>
      <c r="C3" s="7" t="n">
        <v>1140</v>
      </c>
      <c r="D3" s="6" t="s">
        <v>44</v>
      </c>
      <c r="E3" s="6" t="s">
        <v>48</v>
      </c>
      <c r="F3" s="6"/>
      <c r="G3" s="6"/>
    </row>
    <row r="4" customFormat="false" ht="15" hidden="false" customHeight="false" outlineLevel="0" collapsed="false">
      <c r="A4" s="5" t="s">
        <v>49</v>
      </c>
      <c r="B4" s="6" t="s">
        <v>50</v>
      </c>
      <c r="C4" s="7" t="n">
        <v>9.81</v>
      </c>
      <c r="D4" s="6" t="s">
        <v>51</v>
      </c>
      <c r="E4" s="6" t="s">
        <v>52</v>
      </c>
      <c r="F4" s="6"/>
      <c r="G4" s="6"/>
    </row>
    <row r="5" customFormat="false" ht="15" hidden="false" customHeight="false" outlineLevel="0" collapsed="false">
      <c r="A5" s="5" t="s">
        <v>53</v>
      </c>
      <c r="B5" s="6" t="s">
        <v>54</v>
      </c>
      <c r="C5" s="7" t="n">
        <v>23.35</v>
      </c>
      <c r="D5" s="6" t="s">
        <v>55</v>
      </c>
      <c r="E5" s="6" t="s">
        <v>56</v>
      </c>
      <c r="F5" s="6"/>
      <c r="G5" s="6"/>
    </row>
    <row r="6" customFormat="false" ht="15" hidden="false" customHeight="false" outlineLevel="0" collapsed="false">
      <c r="A6" s="5" t="s">
        <v>57</v>
      </c>
      <c r="B6" s="6" t="s">
        <v>58</v>
      </c>
      <c r="C6" s="7" t="n">
        <v>98</v>
      </c>
      <c r="D6" s="6" t="s">
        <v>59</v>
      </c>
      <c r="E6" s="6" t="s">
        <v>60</v>
      </c>
      <c r="F6" s="6"/>
      <c r="G6" s="6"/>
    </row>
    <row r="7" customFormat="false" ht="15" hidden="false" customHeight="false" outlineLevel="0" collapsed="false">
      <c r="A7" s="5" t="s">
        <v>61</v>
      </c>
      <c r="B7" s="6" t="s">
        <v>62</v>
      </c>
      <c r="C7" s="7" t="n">
        <v>30</v>
      </c>
      <c r="D7" s="6" t="s">
        <v>59</v>
      </c>
      <c r="E7" s="6" t="s">
        <v>63</v>
      </c>
      <c r="F7" s="6"/>
      <c r="G7" s="6"/>
    </row>
    <row r="8" customFormat="false" ht="15" hidden="false" customHeight="false" outlineLevel="0" collapsed="false">
      <c r="A8" s="5" t="s">
        <v>64</v>
      </c>
      <c r="B8" s="6" t="s">
        <v>65</v>
      </c>
      <c r="C8" s="7" t="n">
        <v>17.5</v>
      </c>
      <c r="D8" s="6" t="s">
        <v>66</v>
      </c>
      <c r="E8" s="6" t="s">
        <v>67</v>
      </c>
      <c r="F8" s="6"/>
      <c r="G8" s="6"/>
    </row>
    <row r="9" customFormat="false" ht="15" hidden="false" customHeight="false" outlineLevel="0" collapsed="false">
      <c r="A9" s="5" t="s">
        <v>68</v>
      </c>
      <c r="B9" s="6" t="s">
        <v>69</v>
      </c>
      <c r="C9" s="7" t="n">
        <v>12</v>
      </c>
      <c r="D9" s="6" t="s">
        <v>66</v>
      </c>
      <c r="E9" s="6" t="s">
        <v>70</v>
      </c>
      <c r="F9" s="6"/>
      <c r="G9" s="6"/>
    </row>
    <row r="10" customFormat="false" ht="15" hidden="false" customHeight="false" outlineLevel="0" collapsed="false">
      <c r="A10" s="5" t="s">
        <v>71</v>
      </c>
      <c r="B10" s="6" t="s">
        <v>72</v>
      </c>
      <c r="C10" s="7" t="n">
        <v>0.18</v>
      </c>
      <c r="D10" s="6" t="s">
        <v>66</v>
      </c>
      <c r="E10" s="6" t="s">
        <v>60</v>
      </c>
      <c r="F10" s="6"/>
      <c r="G10" s="6"/>
    </row>
    <row r="11" customFormat="false" ht="15" hidden="false" customHeight="false" outlineLevel="0" collapsed="false">
      <c r="A11" s="5" t="s">
        <v>73</v>
      </c>
      <c r="B11" s="6" t="s">
        <v>74</v>
      </c>
      <c r="C11" s="7" t="n">
        <v>0.88</v>
      </c>
      <c r="D11" s="6" t="s">
        <v>75</v>
      </c>
      <c r="E11" s="6" t="s">
        <v>76</v>
      </c>
      <c r="F11" s="6" t="n">
        <v>0.83</v>
      </c>
      <c r="G11" s="6" t="n">
        <v>0.92</v>
      </c>
    </row>
    <row r="12" customFormat="false" ht="15" hidden="false" customHeight="false" outlineLevel="0" collapsed="false">
      <c r="A12" s="5" t="s">
        <v>77</v>
      </c>
      <c r="B12" s="6" t="s">
        <v>78</v>
      </c>
      <c r="C12" s="7" t="n">
        <v>0.88</v>
      </c>
      <c r="D12" s="6" t="s">
        <v>75</v>
      </c>
      <c r="E12" s="6" t="s">
        <v>76</v>
      </c>
      <c r="F12" s="6" t="n">
        <v>0.85</v>
      </c>
      <c r="G12" s="6" t="n">
        <v>0.91</v>
      </c>
    </row>
    <row r="13" customFormat="false" ht="15" hidden="false" customHeight="false" outlineLevel="0" collapsed="false">
      <c r="A13" s="5" t="s">
        <v>79</v>
      </c>
      <c r="B13" s="6" t="s">
        <v>80</v>
      </c>
      <c r="C13" s="7" t="n">
        <v>0.15</v>
      </c>
      <c r="D13" s="6" t="s">
        <v>66</v>
      </c>
      <c r="E13" s="6" t="s">
        <v>76</v>
      </c>
      <c r="F13" s="6"/>
      <c r="G13" s="6"/>
    </row>
    <row r="14" customFormat="false" ht="15" hidden="false" customHeight="false" outlineLevel="0" collapsed="false">
      <c r="A14" s="5" t="s">
        <v>81</v>
      </c>
      <c r="B14" s="6" t="s">
        <v>82</v>
      </c>
      <c r="C14" s="7" t="n">
        <v>18.4</v>
      </c>
      <c r="D14" s="6" t="s">
        <v>66</v>
      </c>
      <c r="E14" s="6" t="s">
        <v>70</v>
      </c>
      <c r="F14" s="6"/>
      <c r="G14" s="6"/>
    </row>
    <row r="15" customFormat="false" ht="15" hidden="false" customHeight="false" outlineLevel="0" collapsed="false">
      <c r="A15" s="5" t="s">
        <v>83</v>
      </c>
      <c r="B15" s="6" t="s">
        <v>84</v>
      </c>
      <c r="C15" s="7" t="n">
        <v>0.9</v>
      </c>
      <c r="D15" s="6" t="s">
        <v>75</v>
      </c>
      <c r="E15" s="6" t="s">
        <v>76</v>
      </c>
      <c r="F15" s="6" t="n">
        <v>0.85</v>
      </c>
      <c r="G15" s="6" t="n">
        <v>0.92</v>
      </c>
    </row>
    <row r="16" customFormat="false" ht="15" hidden="false" customHeight="false" outlineLevel="0" collapsed="false">
      <c r="A16" s="5" t="s">
        <v>85</v>
      </c>
      <c r="B16" s="6" t="s">
        <v>86</v>
      </c>
      <c r="C16" s="7" t="n">
        <v>1</v>
      </c>
      <c r="D16" s="6" t="s">
        <v>75</v>
      </c>
      <c r="E16" s="6" t="s">
        <v>87</v>
      </c>
      <c r="F16" s="6" t="n">
        <v>1</v>
      </c>
      <c r="G16" s="6" t="n">
        <v>1.2</v>
      </c>
    </row>
    <row r="17" customFormat="false" ht="15" hidden="false" customHeight="false" outlineLevel="0" collapsed="false">
      <c r="A17" s="5" t="s">
        <v>88</v>
      </c>
      <c r="B17" s="6" t="s">
        <v>89</v>
      </c>
      <c r="C17" s="7" t="n">
        <v>0.22</v>
      </c>
      <c r="D17" s="6" t="s">
        <v>90</v>
      </c>
      <c r="E17" s="6" t="s">
        <v>91</v>
      </c>
      <c r="F17" s="6"/>
      <c r="G17" s="6"/>
    </row>
    <row r="18" customFormat="false" ht="15" hidden="false" customHeight="false" outlineLevel="0" collapsed="false">
      <c r="A18" s="5" t="s">
        <v>92</v>
      </c>
      <c r="B18" s="6" t="s">
        <v>93</v>
      </c>
      <c r="C18" s="7" t="n">
        <v>0.096</v>
      </c>
      <c r="D18" s="6" t="s">
        <v>90</v>
      </c>
      <c r="E18" s="6" t="s">
        <v>91</v>
      </c>
      <c r="F18" s="6"/>
      <c r="G18" s="6"/>
    </row>
    <row r="19" customFormat="false" ht="15" hidden="false" customHeight="false" outlineLevel="0" collapsed="false">
      <c r="A19" s="5" t="s">
        <v>94</v>
      </c>
      <c r="B19" s="6" t="s">
        <v>95</v>
      </c>
      <c r="C19" s="7" t="n">
        <v>35.9</v>
      </c>
      <c r="D19" s="6" t="s">
        <v>96</v>
      </c>
      <c r="E19" s="6" t="s">
        <v>97</v>
      </c>
      <c r="F19" s="6"/>
      <c r="G19" s="6"/>
    </row>
    <row r="20" customFormat="false" ht="15" hidden="false" customHeight="false" outlineLevel="0" collapsed="false">
      <c r="A20" s="5" t="s">
        <v>98</v>
      </c>
      <c r="B20" s="6" t="s">
        <v>99</v>
      </c>
      <c r="C20" s="7" t="n">
        <v>22</v>
      </c>
      <c r="D20" s="6" t="s">
        <v>100</v>
      </c>
      <c r="E20" s="6" t="s">
        <v>48</v>
      </c>
      <c r="F20" s="6"/>
      <c r="G20" s="6"/>
    </row>
    <row r="21" customFormat="false" ht="15" hidden="false" customHeight="false" outlineLevel="0" collapsed="false">
      <c r="A21" s="5" t="s">
        <v>101</v>
      </c>
      <c r="B21" s="6" t="s">
        <v>102</v>
      </c>
      <c r="C21" s="7" t="n">
        <v>0.15</v>
      </c>
      <c r="D21" s="6" t="s">
        <v>103</v>
      </c>
      <c r="E21" s="6" t="s">
        <v>76</v>
      </c>
      <c r="F21" s="6"/>
      <c r="G21" s="6"/>
    </row>
    <row r="22" customFormat="false" ht="15" hidden="false" customHeight="false" outlineLevel="0" collapsed="false">
      <c r="A22" s="5" t="s">
        <v>104</v>
      </c>
      <c r="B22" s="6" t="s">
        <v>105</v>
      </c>
      <c r="C22" s="7" t="n">
        <v>3.5</v>
      </c>
      <c r="D22" s="6" t="s">
        <v>66</v>
      </c>
      <c r="E22" s="6" t="s">
        <v>106</v>
      </c>
      <c r="F22" s="6"/>
      <c r="G22" s="6"/>
    </row>
    <row r="23" customFormat="false" ht="15" hidden="false" customHeight="false" outlineLevel="0" collapsed="false">
      <c r="A23" s="5" t="s">
        <v>107</v>
      </c>
      <c r="B23" s="6" t="s">
        <v>108</v>
      </c>
      <c r="C23" s="7" t="n">
        <v>0.92</v>
      </c>
      <c r="D23" s="6" t="s">
        <v>75</v>
      </c>
      <c r="E23" s="6" t="s">
        <v>76</v>
      </c>
      <c r="F23" s="6" t="n">
        <v>0.88</v>
      </c>
      <c r="G23" s="6" t="n">
        <v>0.95</v>
      </c>
    </row>
    <row r="24" customFormat="false" ht="15" hidden="false" customHeight="false" outlineLevel="0" collapsed="false">
      <c r="A24" s="5" t="s">
        <v>109</v>
      </c>
      <c r="B24" s="6" t="s">
        <v>110</v>
      </c>
      <c r="C24" s="7" t="n">
        <v>0.95</v>
      </c>
      <c r="D24" s="6" t="s">
        <v>75</v>
      </c>
      <c r="E24" s="6" t="s">
        <v>76</v>
      </c>
      <c r="F24" s="6" t="n">
        <v>0.92</v>
      </c>
      <c r="G24" s="6" t="n">
        <v>0.97</v>
      </c>
    </row>
    <row r="25" customFormat="false" ht="15" hidden="false" customHeight="false" outlineLevel="0" collapsed="false">
      <c r="A25" s="5" t="s">
        <v>111</v>
      </c>
      <c r="B25" s="6" t="s">
        <v>112</v>
      </c>
      <c r="C25" s="7" t="n">
        <v>8</v>
      </c>
      <c r="D25" s="6" t="s">
        <v>103</v>
      </c>
      <c r="E25" s="6" t="s">
        <v>113</v>
      </c>
      <c r="F25" s="6"/>
      <c r="G25" s="6"/>
    </row>
    <row r="26" customFormat="false" ht="15" hidden="false" customHeight="false" outlineLevel="0" collapsed="false">
      <c r="A26" s="5" t="s">
        <v>114</v>
      </c>
      <c r="B26" s="6" t="s">
        <v>115</v>
      </c>
      <c r="C26" s="7" t="n">
        <v>0.92</v>
      </c>
      <c r="D26" s="6" t="s">
        <v>75</v>
      </c>
      <c r="E26" s="6" t="s">
        <v>76</v>
      </c>
      <c r="F26" s="6"/>
      <c r="G26" s="6"/>
    </row>
    <row r="27" customFormat="false" ht="15" hidden="false" customHeight="false" outlineLevel="0" collapsed="false">
      <c r="A27" s="5" t="s">
        <v>116</v>
      </c>
      <c r="B27" s="6" t="s">
        <v>117</v>
      </c>
      <c r="C27" s="7" t="n">
        <v>300</v>
      </c>
      <c r="D27" s="6" t="s">
        <v>118</v>
      </c>
      <c r="E27" s="6" t="s">
        <v>113</v>
      </c>
      <c r="F27" s="6"/>
      <c r="G27" s="6"/>
    </row>
    <row r="28" customFormat="false" ht="15" hidden="false" customHeight="false" outlineLevel="0" collapsed="false">
      <c r="A28" s="5" t="s">
        <v>119</v>
      </c>
      <c r="B28" s="6" t="s">
        <v>120</v>
      </c>
      <c r="C28" s="7" t="n">
        <v>1</v>
      </c>
      <c r="D28" s="6" t="s">
        <v>121</v>
      </c>
      <c r="E28" s="6" t="s">
        <v>113</v>
      </c>
      <c r="F28" s="6"/>
      <c r="G28" s="6"/>
    </row>
    <row r="29" customFormat="false" ht="15" hidden="false" customHeight="false" outlineLevel="0" collapsed="false">
      <c r="A29" s="5" t="s">
        <v>122</v>
      </c>
      <c r="B29" s="6" t="s">
        <v>123</v>
      </c>
      <c r="C29" s="7" t="n">
        <v>15.4</v>
      </c>
      <c r="D29" s="6" t="s">
        <v>124</v>
      </c>
      <c r="E29" s="6" t="s">
        <v>60</v>
      </c>
      <c r="F29" s="6"/>
      <c r="G29" s="6"/>
    </row>
    <row r="30" customFormat="false" ht="15" hidden="false" customHeight="false" outlineLevel="0" collapsed="false">
      <c r="A30" s="5" t="s">
        <v>125</v>
      </c>
      <c r="B30" s="6" t="s">
        <v>126</v>
      </c>
      <c r="C30" s="7" t="n">
        <v>6.3</v>
      </c>
      <c r="D30" s="6" t="s">
        <v>66</v>
      </c>
      <c r="E30" s="6" t="s">
        <v>60</v>
      </c>
      <c r="F30" s="6"/>
      <c r="G30" s="6"/>
    </row>
    <row r="31" customFormat="false" ht="15" hidden="false" customHeight="false" outlineLevel="0" collapsed="false">
      <c r="A31" s="5" t="s">
        <v>127</v>
      </c>
      <c r="B31" s="6" t="s">
        <v>128</v>
      </c>
      <c r="C31" s="7" t="n">
        <v>452.12</v>
      </c>
      <c r="D31" s="6" t="s">
        <v>129</v>
      </c>
      <c r="E31" s="6" t="s">
        <v>130</v>
      </c>
      <c r="F31" s="6"/>
      <c r="G31" s="6"/>
    </row>
    <row r="32" customFormat="false" ht="15" hidden="false" customHeight="false" outlineLevel="0" collapsed="false">
      <c r="A32" s="5" t="s">
        <v>131</v>
      </c>
      <c r="B32" s="6" t="s">
        <v>132</v>
      </c>
      <c r="C32" s="7" t="n">
        <v>13300</v>
      </c>
      <c r="D32" s="6" t="s">
        <v>133</v>
      </c>
      <c r="E32" s="6" t="s">
        <v>134</v>
      </c>
      <c r="F32" s="6"/>
      <c r="G32" s="6"/>
    </row>
    <row r="33" customFormat="false" ht="15" hidden="false" customHeight="false" outlineLevel="0" collapsed="false">
      <c r="A33" s="5" t="s">
        <v>135</v>
      </c>
      <c r="B33" s="6" t="s">
        <v>136</v>
      </c>
      <c r="C33" s="7" t="n">
        <v>5050</v>
      </c>
      <c r="D33" s="6" t="s">
        <v>133</v>
      </c>
      <c r="E33" s="6" t="s">
        <v>137</v>
      </c>
      <c r="F33" s="6"/>
      <c r="G33" s="6"/>
    </row>
    <row r="34" customFormat="false" ht="15" hidden="false" customHeight="false" outlineLevel="0" collapsed="false">
      <c r="A34" s="5" t="s">
        <v>138</v>
      </c>
      <c r="B34" s="6" t="s">
        <v>139</v>
      </c>
      <c r="C34" s="7" t="n">
        <v>1.467</v>
      </c>
      <c r="D34" s="6" t="s">
        <v>75</v>
      </c>
      <c r="E34" s="6" t="s">
        <v>140</v>
      </c>
      <c r="F34" s="6" t="n">
        <v>1.3</v>
      </c>
      <c r="G34" s="6" t="n">
        <v>1.65</v>
      </c>
    </row>
    <row r="35" customFormat="false" ht="15" hidden="false" customHeight="false" outlineLevel="0" collapsed="false">
      <c r="A35" s="5" t="s">
        <v>141</v>
      </c>
      <c r="B35" s="6" t="s">
        <v>142</v>
      </c>
      <c r="C35" s="7" t="n">
        <v>45.59</v>
      </c>
      <c r="D35" s="6" t="s">
        <v>143</v>
      </c>
      <c r="E35" s="6" t="s">
        <v>144</v>
      </c>
      <c r="F35" s="6" t="n">
        <v>39.3</v>
      </c>
      <c r="G35" s="6" t="n">
        <v>55</v>
      </c>
    </row>
    <row r="36" customFormat="false" ht="15" hidden="false" customHeight="false" outlineLevel="0" collapsed="false">
      <c r="A36" s="5" t="s">
        <v>145</v>
      </c>
      <c r="B36" s="6" t="s">
        <v>146</v>
      </c>
      <c r="C36" s="7" t="n">
        <v>345</v>
      </c>
      <c r="D36" s="6" t="s">
        <v>147</v>
      </c>
      <c r="E36" s="6" t="s">
        <v>148</v>
      </c>
      <c r="F36" s="6" t="n">
        <v>300</v>
      </c>
      <c r="G36" s="6" t="n">
        <v>400</v>
      </c>
    </row>
    <row r="37" customFormat="false" ht="15" hidden="false" customHeight="false" outlineLevel="0" collapsed="false">
      <c r="A37" s="5" t="s">
        <v>149</v>
      </c>
      <c r="B37" s="6" t="s">
        <v>150</v>
      </c>
      <c r="C37" s="7" t="n">
        <v>365262</v>
      </c>
      <c r="D37" s="6" t="s">
        <v>151</v>
      </c>
      <c r="E37" s="6" t="s">
        <v>152</v>
      </c>
      <c r="F37" s="6"/>
      <c r="G37" s="6"/>
    </row>
    <row r="38" customFormat="false" ht="15" hidden="false" customHeight="false" outlineLevel="0" collapsed="false">
      <c r="A38" s="5" t="s">
        <v>153</v>
      </c>
      <c r="B38" s="6" t="s">
        <v>154</v>
      </c>
      <c r="C38" s="7" t="n">
        <v>166</v>
      </c>
      <c r="D38" s="6" t="s">
        <v>103</v>
      </c>
      <c r="E38" s="6" t="s">
        <v>113</v>
      </c>
      <c r="F38" s="6"/>
      <c r="G38" s="6"/>
    </row>
    <row r="39" customFormat="false" ht="15" hidden="false" customHeight="false" outlineLevel="0" collapsed="false">
      <c r="A39" s="5" t="s">
        <v>155</v>
      </c>
      <c r="B39" s="6" t="s">
        <v>156</v>
      </c>
      <c r="C39" s="7" t="n">
        <v>1.15</v>
      </c>
      <c r="D39" s="6" t="s">
        <v>75</v>
      </c>
      <c r="E39" s="6" t="s">
        <v>76</v>
      </c>
      <c r="F39" s="6"/>
      <c r="G39" s="6"/>
    </row>
    <row r="40" customFormat="false" ht="15" hidden="false" customHeight="false" outlineLevel="0" collapsed="false">
      <c r="A40" s="5" t="s">
        <v>157</v>
      </c>
      <c r="B40" s="6" t="s">
        <v>158</v>
      </c>
      <c r="C40" s="7" t="n">
        <v>600</v>
      </c>
      <c r="D40" s="6" t="s">
        <v>159</v>
      </c>
      <c r="E40" s="6" t="s">
        <v>76</v>
      </c>
      <c r="F40" s="6" t="n">
        <v>300</v>
      </c>
      <c r="G40" s="6" t="n">
        <v>1000</v>
      </c>
    </row>
    <row r="41" customFormat="false" ht="15" hidden="false" customHeight="false" outlineLevel="0" collapsed="false">
      <c r="A41" s="5" t="s">
        <v>160</v>
      </c>
      <c r="B41" s="6" t="s">
        <v>161</v>
      </c>
      <c r="C41" s="7" t="n">
        <v>10</v>
      </c>
      <c r="D41" s="6" t="s">
        <v>162</v>
      </c>
      <c r="E41" s="6" t="s">
        <v>76</v>
      </c>
      <c r="F41" s="6"/>
      <c r="G41" s="6"/>
    </row>
    <row r="42" customFormat="false" ht="15" hidden="false" customHeight="false" outlineLevel="0" collapsed="false">
      <c r="A42" s="5" t="s">
        <v>163</v>
      </c>
      <c r="B42" s="6" t="s">
        <v>164</v>
      </c>
      <c r="C42" s="7" t="n">
        <v>0.05</v>
      </c>
      <c r="D42" s="6" t="s">
        <v>75</v>
      </c>
      <c r="E42" s="6" t="s">
        <v>76</v>
      </c>
      <c r="F42" s="6" t="n">
        <v>0</v>
      </c>
      <c r="G42" s="6" t="n">
        <v>0.1</v>
      </c>
    </row>
    <row r="43" customFormat="false" ht="15" hidden="false" customHeight="false" outlineLevel="0" collapsed="false">
      <c r="A43" s="5" t="s">
        <v>165</v>
      </c>
      <c r="B43" s="6" t="s">
        <v>166</v>
      </c>
      <c r="C43" s="7" t="n">
        <v>0.2</v>
      </c>
      <c r="D43" s="6" t="s">
        <v>167</v>
      </c>
      <c r="E43" s="6" t="s">
        <v>76</v>
      </c>
      <c r="F43" s="6"/>
      <c r="G43" s="6"/>
    </row>
    <row r="44" customFormat="false" ht="15" hidden="false" customHeight="false" outlineLevel="0" collapsed="false">
      <c r="A44" s="5" t="s">
        <v>168</v>
      </c>
      <c r="B44" s="6" t="s">
        <v>169</v>
      </c>
      <c r="C44" s="7" t="n">
        <v>0.007</v>
      </c>
      <c r="D44" s="6" t="s">
        <v>75</v>
      </c>
      <c r="E44" s="6" t="s">
        <v>91</v>
      </c>
      <c r="F44" s="6"/>
      <c r="G44" s="6"/>
    </row>
    <row r="45" customFormat="false" ht="15" hidden="false" customHeight="false" outlineLevel="0" collapsed="false">
      <c r="A45" s="5" t="s">
        <v>170</v>
      </c>
      <c r="B45" s="6" t="s">
        <v>171</v>
      </c>
      <c r="C45" s="7" t="n">
        <v>2</v>
      </c>
      <c r="D45" s="6" t="s">
        <v>75</v>
      </c>
      <c r="E45" s="6" t="s">
        <v>91</v>
      </c>
      <c r="F45" s="6"/>
      <c r="G45" s="6"/>
    </row>
    <row r="46" customFormat="false" ht="15" hidden="false" customHeight="false" outlineLevel="0" collapsed="false">
      <c r="A46" s="5" t="s">
        <v>172</v>
      </c>
      <c r="B46" s="6" t="s">
        <v>173</v>
      </c>
      <c r="C46" s="7" t="n">
        <v>0.6</v>
      </c>
      <c r="D46" s="6" t="s">
        <v>75</v>
      </c>
      <c r="E46" s="6" t="s">
        <v>76</v>
      </c>
      <c r="F46" s="6" t="n">
        <v>0.4</v>
      </c>
      <c r="G46" s="6" t="n">
        <v>1</v>
      </c>
    </row>
    <row r="47" customFormat="false" ht="15" hidden="false" customHeight="false" outlineLevel="0" collapsed="false">
      <c r="A47" s="5" t="s">
        <v>174</v>
      </c>
      <c r="B47" s="6" t="s">
        <v>175</v>
      </c>
      <c r="C47" s="7" t="n">
        <v>200</v>
      </c>
      <c r="D47" s="6" t="s">
        <v>176</v>
      </c>
      <c r="E47" s="6" t="s">
        <v>177</v>
      </c>
      <c r="F47" s="6" t="n">
        <v>100</v>
      </c>
      <c r="G47" s="6" t="n">
        <v>300</v>
      </c>
    </row>
    <row r="48" customFormat="false" ht="15" hidden="false" customHeight="false" outlineLevel="0" collapsed="false">
      <c r="A48" s="5" t="s">
        <v>178</v>
      </c>
      <c r="B48" s="6" t="s">
        <v>179</v>
      </c>
      <c r="C48" s="7" t="n">
        <v>3000</v>
      </c>
      <c r="D48" s="6" t="s">
        <v>180</v>
      </c>
      <c r="E48" s="6" t="s">
        <v>76</v>
      </c>
      <c r="F48" s="6"/>
      <c r="G48" s="6"/>
    </row>
    <row r="49" customFormat="false" ht="15" hidden="false" customHeight="false" outlineLevel="0" collapsed="false">
      <c r="A49" s="5" t="s">
        <v>181</v>
      </c>
      <c r="B49" s="6" t="s">
        <v>182</v>
      </c>
      <c r="C49" s="7" t="n">
        <v>10</v>
      </c>
      <c r="D49" s="6" t="s">
        <v>162</v>
      </c>
      <c r="E49" s="6" t="s">
        <v>76</v>
      </c>
      <c r="F49" s="6"/>
      <c r="G49" s="6"/>
    </row>
    <row r="50" customFormat="false" ht="15" hidden="false" customHeight="false" outlineLevel="0" collapsed="false">
      <c r="A50" s="5" t="s">
        <v>183</v>
      </c>
      <c r="B50" s="6" t="s">
        <v>184</v>
      </c>
      <c r="C50" s="7" t="n">
        <v>0.606</v>
      </c>
      <c r="D50" s="6" t="s">
        <v>185</v>
      </c>
      <c r="E50" s="6" t="s">
        <v>186</v>
      </c>
      <c r="F50" s="6" t="n">
        <v>0.45</v>
      </c>
      <c r="G50" s="6" t="n">
        <v>1</v>
      </c>
    </row>
    <row r="51" customFormat="false" ht="15" hidden="false" customHeight="false" outlineLevel="0" collapsed="false">
      <c r="A51" s="5" t="s">
        <v>187</v>
      </c>
      <c r="B51" s="6" t="s">
        <v>188</v>
      </c>
      <c r="C51" s="7" t="n">
        <v>2.68</v>
      </c>
      <c r="D51" s="6" t="s">
        <v>189</v>
      </c>
      <c r="E51" s="6" t="s">
        <v>190</v>
      </c>
      <c r="F51" s="6"/>
      <c r="G51" s="6"/>
    </row>
    <row r="52" customFormat="false" ht="15" hidden="false" customHeight="false" outlineLevel="0" collapsed="false">
      <c r="A52" s="5" t="s">
        <v>191</v>
      </c>
      <c r="B52" s="6" t="s">
        <v>192</v>
      </c>
      <c r="C52" s="7" t="n">
        <v>2.5</v>
      </c>
      <c r="D52" s="6" t="s">
        <v>75</v>
      </c>
      <c r="E52" s="6" t="s">
        <v>193</v>
      </c>
      <c r="F52" s="6" t="n">
        <v>2.1</v>
      </c>
      <c r="G52" s="6" t="n">
        <v>3</v>
      </c>
    </row>
    <row r="53" customFormat="false" ht="15" hidden="false" customHeight="false" outlineLevel="0" collapsed="false">
      <c r="A53" s="5" t="s">
        <v>194</v>
      </c>
      <c r="B53" s="6" t="s">
        <v>195</v>
      </c>
      <c r="C53" s="7" t="n">
        <v>1.15</v>
      </c>
      <c r="D53" s="6" t="s">
        <v>75</v>
      </c>
      <c r="E53" s="6" t="s">
        <v>196</v>
      </c>
      <c r="F53" s="6"/>
      <c r="G53" s="6"/>
    </row>
    <row r="54" customFormat="false" ht="15" hidden="false" customHeight="false" outlineLevel="0" collapsed="false">
      <c r="A54" s="5" t="s">
        <v>197</v>
      </c>
      <c r="B54" s="6" t="s">
        <v>198</v>
      </c>
      <c r="C54" s="7" t="n">
        <v>0.16</v>
      </c>
      <c r="D54" s="6" t="s">
        <v>75</v>
      </c>
      <c r="E54" s="6" t="s">
        <v>199</v>
      </c>
      <c r="F54" s="6"/>
      <c r="G54" s="6"/>
    </row>
    <row r="55" customFormat="false" ht="15" hidden="false" customHeight="false" outlineLevel="0" collapsed="false">
      <c r="A55" s="5" t="s">
        <v>200</v>
      </c>
      <c r="B55" s="6" t="s">
        <v>201</v>
      </c>
      <c r="C55" s="7" t="n">
        <v>0</v>
      </c>
      <c r="D55" s="6" t="s">
        <v>202</v>
      </c>
      <c r="E55" s="6" t="s">
        <v>203</v>
      </c>
      <c r="F55" s="6"/>
      <c r="G55" s="6"/>
    </row>
    <row r="56" customFormat="false" ht="15" hidden="false" customHeight="false" outlineLevel="0" collapsed="false">
      <c r="A56" s="5" t="s">
        <v>204</v>
      </c>
      <c r="B56" s="6" t="s">
        <v>205</v>
      </c>
      <c r="C56" s="7" t="n">
        <v>0.5</v>
      </c>
      <c r="D56" s="6" t="s">
        <v>75</v>
      </c>
      <c r="E56" s="6" t="s">
        <v>206</v>
      </c>
      <c r="F56" s="6"/>
      <c r="G56" s="6"/>
    </row>
    <row r="58" customFormat="false" ht="15" hidden="false" customHeight="false" outlineLevel="0" collapsed="false">
      <c r="A58" s="2" t="s">
        <v>207</v>
      </c>
    </row>
    <row r="59" customFormat="false" ht="15" hidden="false" customHeight="false" outlineLevel="0" collapsed="false">
      <c r="A59" s="5" t="s">
        <v>208</v>
      </c>
      <c r="B59" s="6" t="s">
        <v>209</v>
      </c>
      <c r="C59" s="8" t="n">
        <f aca="false">E_bat_kWh*(SOC_max-SOC_min)/100</f>
        <v>15.878</v>
      </c>
    </row>
    <row r="60" customFormat="false" ht="15" hidden="false" customHeight="false" outlineLevel="0" collapsed="false">
      <c r="A60" s="5" t="s">
        <v>210</v>
      </c>
      <c r="B60" s="6" t="s">
        <v>211</v>
      </c>
      <c r="C60" s="8" t="n">
        <f aca="false">T_shift_h*tau_svc</f>
        <v>7.36</v>
      </c>
    </row>
    <row r="61" customFormat="false" ht="15" hidden="false" customHeight="false" outlineLevel="0" collapsed="false">
      <c r="A61" s="5" t="s">
        <v>212</v>
      </c>
      <c r="B61" s="6" t="s">
        <v>213</v>
      </c>
      <c r="C61" s="8" t="n">
        <f aca="false">l_charge_km/v_transp_kmh</f>
        <v>0.0649350649350649</v>
      </c>
    </row>
    <row r="62" customFormat="false" ht="15" hidden="false" customHeight="false" outlineLevel="0" collapsed="false">
      <c r="A62" s="5" t="s">
        <v>214</v>
      </c>
      <c r="B62" s="6" t="s">
        <v>215</v>
      </c>
      <c r="C62" s="8" t="n">
        <f aca="false">P_transp_kW*t_tr</f>
        <v>0.409090909090909</v>
      </c>
    </row>
    <row r="63" customFormat="false" ht="15" hidden="false" customHeight="false" outlineLevel="0" collapsed="false">
      <c r="A63" s="5" t="s">
        <v>216</v>
      </c>
      <c r="B63" s="6" t="s">
        <v>217</v>
      </c>
      <c r="C63" s="8" t="n">
        <f aca="false">E_use/(eta_ch*eta_bat*P_ch_ac)</f>
        <v>5.19058515854855</v>
      </c>
    </row>
    <row r="64" customFormat="false" ht="15" hidden="false" customHeight="false" outlineLevel="0" collapsed="false">
      <c r="A64" s="5" t="s">
        <v>218</v>
      </c>
      <c r="B64" s="6" t="s">
        <v>219</v>
      </c>
      <c r="C64" s="8" t="n">
        <f aca="false">k_pto_D*P_e_nom_D</f>
        <v>16.56</v>
      </c>
    </row>
    <row r="65" customFormat="false" ht="15" hidden="false" customHeight="false" outlineLevel="0" collapsed="false">
      <c r="A65" s="5" t="s">
        <v>220</v>
      </c>
      <c r="B65" s="6" t="s">
        <v>221</v>
      </c>
      <c r="C65" s="8" t="n">
        <f aca="false">wage_month/h_month*k_soc</f>
        <v>2530.42951807229</v>
      </c>
    </row>
    <row r="66" customFormat="false" ht="15" hidden="false" customHeight="false" outlineLevel="0" collapsed="false">
      <c r="A66" s="5" t="s">
        <v>222</v>
      </c>
      <c r="B66" s="6" t="s">
        <v>223</v>
      </c>
      <c r="C66" s="8" t="n">
        <f aca="false">price_ET_usd*usd_kzt*k_landed</f>
        <v>8821358.532</v>
      </c>
    </row>
    <row r="67" customFormat="false" ht="15" hidden="false" customHeight="false" outlineLevel="0" collapsed="false">
      <c r="A67" s="5" t="s">
        <v>224</v>
      </c>
      <c r="B67" s="6" t="s">
        <v>225</v>
      </c>
      <c r="C67" s="8" t="n">
        <f aca="false">price_D_usd*usd_kzt*k_landed</f>
        <v>3349463.202</v>
      </c>
    </row>
    <row r="68" customFormat="false" ht="15" hidden="false" customHeight="false" outlineLevel="0" collapsed="false">
      <c r="A68" s="5" t="s">
        <v>226</v>
      </c>
      <c r="B68" s="6" t="s">
        <v>227</v>
      </c>
      <c r="C68" s="8" t="n">
        <f aca="false">T_year_h*life_y</f>
        <v>6000</v>
      </c>
    </row>
    <row r="69" customFormat="false" ht="15" hidden="false" customHeight="false" outlineLevel="0" collapsed="false">
      <c r="A69" s="5" t="s">
        <v>228</v>
      </c>
      <c r="B69" s="6" t="s">
        <v>229</v>
      </c>
      <c r="C69" s="8" t="n">
        <f aca="false">ASAE_RF1*price_D*(T_life/1000)^ASAE_RF2/T_life</f>
        <v>140.677454484</v>
      </c>
    </row>
    <row r="70" customFormat="false" ht="15" hidden="false" customHeight="false" outlineLevel="0" collapsed="false">
      <c r="A70" s="5" t="s">
        <v>230</v>
      </c>
      <c r="B70" s="6" t="s">
        <v>231</v>
      </c>
      <c r="C70" s="8" t="n">
        <f aca="false">IF(r_disc=0,1/life_y,r_disc*(1+r_disc)^life_y/((1+r_disc)^life_y-1))</f>
        <v>0.129504574965457</v>
      </c>
    </row>
    <row r="71" customFormat="false" ht="15" hidden="false" customHeight="false" outlineLevel="0" collapsed="false">
      <c r="A71" s="5" t="s">
        <v>232</v>
      </c>
      <c r="B71" s="6" t="s">
        <v>233</v>
      </c>
      <c r="C71" s="8" t="n">
        <f aca="false">IF(r_disc=0,1/life_y,r_disc/((1+r_disc)^life_y-1))</f>
        <v>0.0795045749654566</v>
      </c>
    </row>
    <row r="72" customFormat="false" ht="15" hidden="false" customHeight="false" outlineLevel="0" collapsed="false">
      <c r="A72" s="5" t="s">
        <v>234</v>
      </c>
      <c r="B72" s="6" t="s">
        <v>235</v>
      </c>
      <c r="C72" s="8" t="n">
        <f aca="false">bat_usd_kWh*E_bat_kWh*usd_kzt</f>
        <v>2111400.4</v>
      </c>
    </row>
    <row r="73" customFormat="false" ht="15" hidden="false" customHeight="false" outlineLevel="0" collapsed="false">
      <c r="A73" s="5" t="s">
        <v>236</v>
      </c>
      <c r="B73" s="6" t="s">
        <v>237</v>
      </c>
      <c r="C73" s="8" t="n">
        <f aca="false">k_D*(sfc_a*(eta_ep*(turn_P-P_aux)+P_hyd_idle_D)+sfc_b*P_pto_nom)</f>
        <v>2.16820864</v>
      </c>
    </row>
    <row r="74" customFormat="false" ht="15" hidden="false" customHeight="false" outlineLevel="0" collapsed="false">
      <c r="A74" s="5" t="s">
        <v>238</v>
      </c>
      <c r="B74" s="6" t="s">
        <v>239</v>
      </c>
      <c r="C74" s="8" t="n">
        <f aca="false">k_D*(sfc_a*(eta_ep*(P_transp_kW-P_aux)*m_D/m_ET+P_hyd_idle_D)+sfc_b*P_pto_nom)</f>
        <v>2.66176652307692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7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27" min="6" style="0" width="9"/>
  </cols>
  <sheetData>
    <row r="1" customFormat="false" ht="45" hidden="false" customHeight="true" outlineLevel="0" collapsed="false">
      <c r="A1" s="4" t="s">
        <v>240</v>
      </c>
      <c r="B1" s="4" t="s">
        <v>241</v>
      </c>
      <c r="C1" s="4" t="s">
        <v>242</v>
      </c>
      <c r="D1" s="4" t="s">
        <v>243</v>
      </c>
      <c r="E1" s="4" t="s">
        <v>244</v>
      </c>
      <c r="F1" s="4" t="s">
        <v>245</v>
      </c>
      <c r="G1" s="4" t="s">
        <v>246</v>
      </c>
      <c r="H1" s="4" t="s">
        <v>247</v>
      </c>
      <c r="I1" s="4" t="s">
        <v>248</v>
      </c>
      <c r="J1" s="4" t="s">
        <v>249</v>
      </c>
      <c r="K1" s="4" t="s">
        <v>250</v>
      </c>
      <c r="L1" s="4" t="s">
        <v>251</v>
      </c>
      <c r="M1" s="4" t="s">
        <v>252</v>
      </c>
      <c r="N1" s="4" t="s">
        <v>253</v>
      </c>
      <c r="O1" s="4" t="s">
        <v>254</v>
      </c>
      <c r="P1" s="4" t="s">
        <v>255</v>
      </c>
      <c r="Q1" s="4" t="s">
        <v>256</v>
      </c>
      <c r="R1" s="4" t="s">
        <v>257</v>
      </c>
      <c r="S1" s="4" t="s">
        <v>258</v>
      </c>
      <c r="T1" s="4" t="s">
        <v>259</v>
      </c>
      <c r="U1" s="4" t="s">
        <v>260</v>
      </c>
      <c r="V1" s="4" t="s">
        <v>261</v>
      </c>
      <c r="W1" s="4" t="s">
        <v>262</v>
      </c>
      <c r="X1" s="4" t="s">
        <v>263</v>
      </c>
      <c r="Y1" s="4" t="s">
        <v>264</v>
      </c>
      <c r="Z1" s="4" t="s">
        <v>265</v>
      </c>
      <c r="AA1" s="4" t="s">
        <v>266</v>
      </c>
      <c r="AB1" s="9" t="s">
        <v>267</v>
      </c>
    </row>
    <row r="2" customFormat="false" ht="15" hidden="false" customHeight="false" outlineLevel="0" collapsed="false">
      <c r="A2" s="6" t="s">
        <v>268</v>
      </c>
      <c r="B2" s="6" t="s">
        <v>269</v>
      </c>
      <c r="C2" s="6" t="n">
        <v>0</v>
      </c>
      <c r="D2" s="6"/>
      <c r="E2" s="6" t="s">
        <v>270</v>
      </c>
      <c r="F2" s="6" t="n">
        <v>0</v>
      </c>
      <c r="G2" s="6" t="n">
        <v>4.5</v>
      </c>
      <c r="H2" s="6" t="s">
        <v>271</v>
      </c>
      <c r="I2" s="6" t="n">
        <v>80</v>
      </c>
      <c r="J2" s="10" t="n">
        <v>3.1968</v>
      </c>
      <c r="K2" s="10" t="n">
        <v>0.075</v>
      </c>
      <c r="L2" s="10" t="n">
        <v>3288.233</v>
      </c>
      <c r="M2" s="10" t="n">
        <v>4.472</v>
      </c>
      <c r="N2" s="10"/>
      <c r="O2" s="10"/>
      <c r="P2" s="10"/>
      <c r="Q2" s="10" t="n">
        <v>0</v>
      </c>
      <c r="R2" s="11"/>
      <c r="S2" s="12"/>
      <c r="T2" s="11" t="str">
        <f aca="false">IF(E2="холостой","",IFERROR(1-AVERAGEIFS($L:$L,$B:$B,B2,$H:$H,H2,$E:$E,"холостой")/L2,""))</f>
        <v/>
      </c>
      <c r="U2" s="13"/>
      <c r="V2" s="11" t="n">
        <f aca="false">(M2/3.6)^2</f>
        <v>1.54311604938272</v>
      </c>
      <c r="W2" s="14" t="n">
        <f aca="false">eta_ep*eta_tr*(J2-P_aux)*1000/(M2/3.6)</f>
        <v>1880.66988193202</v>
      </c>
    </row>
    <row r="3" customFormat="false" ht="15" hidden="false" customHeight="false" outlineLevel="0" collapsed="false">
      <c r="A3" s="6" t="s">
        <v>268</v>
      </c>
      <c r="B3" s="6" t="s">
        <v>269</v>
      </c>
      <c r="C3" s="6" t="n">
        <v>0</v>
      </c>
      <c r="D3" s="6"/>
      <c r="E3" s="6" t="s">
        <v>270</v>
      </c>
      <c r="F3" s="6" t="n">
        <v>0</v>
      </c>
      <c r="G3" s="6" t="n">
        <v>4.5</v>
      </c>
      <c r="H3" s="6" t="s">
        <v>271</v>
      </c>
      <c r="I3" s="6" t="n">
        <v>80</v>
      </c>
      <c r="J3" s="10" t="n">
        <v>3.1963</v>
      </c>
      <c r="K3" s="10" t="n">
        <v>0.0752</v>
      </c>
      <c r="L3" s="10" t="n">
        <v>3289.433</v>
      </c>
      <c r="M3" s="10" t="n">
        <v>4.489</v>
      </c>
      <c r="N3" s="10"/>
      <c r="O3" s="10"/>
      <c r="P3" s="10"/>
      <c r="Q3" s="10" t="n">
        <v>0</v>
      </c>
      <c r="R3" s="11"/>
      <c r="S3" s="12"/>
      <c r="T3" s="11" t="str">
        <f aca="false">IF(E3="холостой","",IFERROR(1-AVERAGEIFS($L:$L,$B:$B,B3,$H:$H,H3,$E:$E,"холостой")/L3,""))</f>
        <v/>
      </c>
      <c r="U3" s="13"/>
      <c r="V3" s="11" t="n">
        <f aca="false">(M3/3.6)^2</f>
        <v>1.55487044753086</v>
      </c>
      <c r="W3" s="14" t="n">
        <f aca="false">eta_ep*eta_tr*(J3-P_aux)*1000/(M3/3.6)</f>
        <v>1873.23720026732</v>
      </c>
    </row>
    <row r="4" customFormat="false" ht="15" hidden="false" customHeight="false" outlineLevel="0" collapsed="false">
      <c r="A4" s="6" t="s">
        <v>268</v>
      </c>
      <c r="B4" s="6" t="s">
        <v>269</v>
      </c>
      <c r="C4" s="6" t="n">
        <v>0</v>
      </c>
      <c r="D4" s="6"/>
      <c r="E4" s="6" t="s">
        <v>270</v>
      </c>
      <c r="F4" s="6" t="n">
        <v>0</v>
      </c>
      <c r="G4" s="6" t="n">
        <v>4.5</v>
      </c>
      <c r="H4" s="6" t="s">
        <v>271</v>
      </c>
      <c r="I4" s="6" t="n">
        <v>80</v>
      </c>
      <c r="J4" s="10" t="n">
        <v>3.1981</v>
      </c>
      <c r="K4" s="10" t="n">
        <v>0.075</v>
      </c>
      <c r="L4" s="10" t="n">
        <v>3289.95</v>
      </c>
      <c r="M4" s="10" t="n">
        <v>4.515</v>
      </c>
      <c r="N4" s="10"/>
      <c r="O4" s="10"/>
      <c r="P4" s="10"/>
      <c r="Q4" s="10" t="n">
        <v>0</v>
      </c>
      <c r="R4" s="11"/>
      <c r="S4" s="12"/>
      <c r="T4" s="11" t="str">
        <f aca="false">IF(E4="холостой","",IFERROR(1-AVERAGEIFS($L:$L,$B:$B,B4,$H:$H,H4,$E:$E,"холостой")/L4,""))</f>
        <v/>
      </c>
      <c r="U4" s="13"/>
      <c r="V4" s="11" t="n">
        <f aca="false">(M4/3.6)^2</f>
        <v>1.57293402777778</v>
      </c>
      <c r="W4" s="14" t="n">
        <f aca="false">eta_ep*eta_tr*(J4-P_aux)*1000/(M4/3.6)</f>
        <v>1863.56144053156</v>
      </c>
    </row>
    <row r="5" customFormat="false" ht="15" hidden="false" customHeight="false" outlineLevel="0" collapsed="false">
      <c r="A5" s="6" t="s">
        <v>268</v>
      </c>
      <c r="B5" s="6" t="s">
        <v>269</v>
      </c>
      <c r="C5" s="6" t="n">
        <v>0</v>
      </c>
      <c r="D5" s="6"/>
      <c r="E5" s="6" t="s">
        <v>270</v>
      </c>
      <c r="F5" s="6" t="n">
        <v>0</v>
      </c>
      <c r="G5" s="6" t="n">
        <v>4.5</v>
      </c>
      <c r="H5" s="6" t="s">
        <v>271</v>
      </c>
      <c r="I5" s="6" t="n">
        <v>80</v>
      </c>
      <c r="J5" s="10" t="n">
        <v>3.1988</v>
      </c>
      <c r="K5" s="10" t="n">
        <v>0.073</v>
      </c>
      <c r="L5" s="10" t="n">
        <v>3289.267</v>
      </c>
      <c r="M5" s="10" t="n">
        <v>4.539</v>
      </c>
      <c r="N5" s="10"/>
      <c r="O5" s="10"/>
      <c r="P5" s="10"/>
      <c r="Q5" s="10" t="n">
        <v>0</v>
      </c>
      <c r="R5" s="11"/>
      <c r="S5" s="12"/>
      <c r="T5" s="11" t="str">
        <f aca="false">IF(E5="холостой","",IFERROR(1-AVERAGEIFS($L:$L,$B:$B,B5,$H:$H,H5,$E:$E,"холостой")/L5,""))</f>
        <v/>
      </c>
      <c r="U5" s="13"/>
      <c r="V5" s="11" t="n">
        <f aca="false">(M5/3.6)^2</f>
        <v>1.58970069444444</v>
      </c>
      <c r="W5" s="14" t="n">
        <f aca="false">eta_ep*eta_tr*(J5-P_aux)*1000/(M5/3.6)</f>
        <v>1854.13778189028</v>
      </c>
    </row>
    <row r="6" customFormat="false" ht="15" hidden="false" customHeight="false" outlineLevel="0" collapsed="false">
      <c r="A6" s="6" t="s">
        <v>268</v>
      </c>
      <c r="B6" s="6" t="s">
        <v>269</v>
      </c>
      <c r="C6" s="6" t="n">
        <v>1</v>
      </c>
      <c r="D6" s="6" t="n">
        <v>1</v>
      </c>
      <c r="E6" s="6" t="s">
        <v>272</v>
      </c>
      <c r="F6" s="6" t="n">
        <v>0.11</v>
      </c>
      <c r="G6" s="6" t="n">
        <v>5.4</v>
      </c>
      <c r="H6" s="6" t="s">
        <v>271</v>
      </c>
      <c r="I6" s="6" t="n">
        <v>67</v>
      </c>
      <c r="J6" s="10" t="n">
        <v>15.2588</v>
      </c>
      <c r="K6" s="10" t="n">
        <v>0.5465</v>
      </c>
      <c r="L6" s="10" t="n">
        <v>3659.583</v>
      </c>
      <c r="M6" s="10" t="n">
        <v>5.409</v>
      </c>
      <c r="N6" s="10" t="n">
        <v>0.1068</v>
      </c>
      <c r="O6" s="10" t="n">
        <v>0.0047</v>
      </c>
      <c r="P6" s="10" t="n">
        <v>1.204</v>
      </c>
      <c r="Q6" s="10" t="n">
        <v>0</v>
      </c>
      <c r="R6" s="11" t="n">
        <f aca="false">IF(P6="","",0.1*P6*M6)</f>
        <v>0.6512436</v>
      </c>
      <c r="S6" s="12" t="n">
        <f aca="false">IF(R6="","",J6/R6)</f>
        <v>23.4302494489005</v>
      </c>
      <c r="T6" s="11" t="n">
        <f aca="false">IF(E6="холостой","",IFERROR(1-AVERAGEIFS($L:$L,$B:$B,B6,$H:$H,H6,$E:$E,"холостой")/L6,""))</f>
        <v>0.101203402136254</v>
      </c>
      <c r="U6" s="13" t="n">
        <f aca="false">IF(R6="","",3.6*J6/(P6*N6*M6))</f>
        <v>78.9783689288782</v>
      </c>
      <c r="V6" s="11" t="n">
        <f aca="false">(M6/3.6)^2</f>
        <v>2.25750625</v>
      </c>
      <c r="W6" s="14" t="n">
        <f aca="false">eta_ep*eta_tr*(J6-P_aux)*1000*(1-T6)/(M6/3.6)</f>
        <v>6985.20352340344</v>
      </c>
      <c r="X6" s="14" t="n">
        <f aca="false">W6-f_roll*m_ET*g</f>
        <v>5117.30194724814</v>
      </c>
      <c r="Y6" s="12" t="n">
        <f aca="false">X6/(P6*N6)/1000</f>
        <v>39.7963556811886</v>
      </c>
      <c r="Z6" s="11" t="n">
        <f aca="false">X6/(m_ET*g)</f>
        <v>0.401262600740856</v>
      </c>
    </row>
    <row r="7" customFormat="false" ht="15" hidden="false" customHeight="false" outlineLevel="0" collapsed="false">
      <c r="A7" s="6" t="s">
        <v>268</v>
      </c>
      <c r="B7" s="6" t="s">
        <v>269</v>
      </c>
      <c r="C7" s="6" t="n">
        <v>2</v>
      </c>
      <c r="D7" s="6" t="n">
        <v>1</v>
      </c>
      <c r="E7" s="6" t="s">
        <v>272</v>
      </c>
      <c r="F7" s="6" t="n">
        <v>0.08</v>
      </c>
      <c r="G7" s="6" t="n">
        <v>5.4</v>
      </c>
      <c r="H7" s="6" t="s">
        <v>271</v>
      </c>
      <c r="I7" s="6" t="n">
        <v>66</v>
      </c>
      <c r="J7" s="10" t="n">
        <v>11.6538</v>
      </c>
      <c r="K7" s="10" t="n">
        <v>0.5561</v>
      </c>
      <c r="L7" s="10" t="n">
        <v>3482.2</v>
      </c>
      <c r="M7" s="10" t="n">
        <v>5.403</v>
      </c>
      <c r="N7" s="10" t="n">
        <v>0.0774</v>
      </c>
      <c r="O7" s="10" t="n">
        <v>0.0047</v>
      </c>
      <c r="P7" s="10" t="n">
        <v>1.208</v>
      </c>
      <c r="Q7" s="10" t="n">
        <v>0</v>
      </c>
      <c r="R7" s="11" t="n">
        <f aca="false">IF(P7="","",0.1*P7*M7)</f>
        <v>0.6526824</v>
      </c>
      <c r="S7" s="12" t="n">
        <f aca="false">IF(R7="","",J7/R7)</f>
        <v>17.8552386275469</v>
      </c>
      <c r="T7" s="11" t="n">
        <f aca="false">IF(E7="холостой","",IFERROR(1-AVERAGEIFS($L:$L,$B:$B,B7,$H:$H,H7,$E:$E,"холостой")/L7,""))</f>
        <v>0.0554187726150135</v>
      </c>
      <c r="U7" s="13" t="n">
        <f aca="false">IF(R7="","",3.6*J7/(P7*N7*M7))</f>
        <v>83.0476215234739</v>
      </c>
      <c r="V7" s="11" t="n">
        <f aca="false">(M7/3.6)^2</f>
        <v>2.25250069444444</v>
      </c>
      <c r="W7" s="14" t="n">
        <f aca="false">eta_ep*eta_tr*(J7-P_aux)*1000*(1-T7)/(M7/3.6)</f>
        <v>5592.15838240616</v>
      </c>
      <c r="X7" s="14" t="n">
        <f aca="false">W7-f_roll*m_ET*g</f>
        <v>3724.25680625086</v>
      </c>
      <c r="Y7" s="12" t="n">
        <f aca="false">X7/(P7*N7)/1000</f>
        <v>39.8319644045175</v>
      </c>
      <c r="Z7" s="11" t="n">
        <f aca="false">X7/(m_ET*g)</f>
        <v>0.292029860131017</v>
      </c>
    </row>
    <row r="8" customFormat="false" ht="15" hidden="false" customHeight="false" outlineLevel="0" collapsed="false">
      <c r="A8" s="6" t="s">
        <v>268</v>
      </c>
      <c r="B8" s="6" t="s">
        <v>269</v>
      </c>
      <c r="C8" s="6" t="n">
        <v>3</v>
      </c>
      <c r="D8" s="6" t="n">
        <v>1</v>
      </c>
      <c r="E8" s="6" t="s">
        <v>272</v>
      </c>
      <c r="F8" s="6" t="n">
        <v>0.14</v>
      </c>
      <c r="G8" s="6" t="n">
        <v>4.5</v>
      </c>
      <c r="H8" s="6" t="s">
        <v>271</v>
      </c>
      <c r="I8" s="6" t="n">
        <v>80</v>
      </c>
      <c r="J8" s="10" t="n">
        <v>15.7265</v>
      </c>
      <c r="K8" s="10" t="n">
        <v>0.4797</v>
      </c>
      <c r="L8" s="10" t="n">
        <v>3814.133</v>
      </c>
      <c r="M8" s="10" t="n">
        <v>4.452</v>
      </c>
      <c r="N8" s="10" t="n">
        <v>0.1388</v>
      </c>
      <c r="O8" s="10" t="n">
        <v>0.0052</v>
      </c>
      <c r="P8" s="10" t="n">
        <v>1.19</v>
      </c>
      <c r="Q8" s="10" t="n">
        <v>0</v>
      </c>
      <c r="R8" s="11" t="n">
        <f aca="false">IF(P8="","",0.1*P8*M8)</f>
        <v>0.529788</v>
      </c>
      <c r="S8" s="12" t="n">
        <f aca="false">IF(R8="","",J8/R8)</f>
        <v>29.6845153155602</v>
      </c>
      <c r="T8" s="11" t="n">
        <f aca="false">IF(E8="холостой","",IFERROR(1-AVERAGEIFS($L:$L,$B:$B,B8,$H:$H,H8,$E:$E,"холостой")/L8,""))</f>
        <v>0.137622953892798</v>
      </c>
      <c r="U8" s="13" t="n">
        <f aca="false">IF(R8="","",3.6*J8/(P8*N8*M8))</f>
        <v>76.9915382824328</v>
      </c>
      <c r="V8" s="11" t="n">
        <f aca="false">(M8/3.6)^2</f>
        <v>1.52934444444444</v>
      </c>
      <c r="W8" s="14" t="n">
        <f aca="false">eta_ep*eta_tr*(J8-P_aux)*1000*(1-T8)/(M8/3.6)</f>
        <v>8395.4215732993</v>
      </c>
      <c r="X8" s="14" t="n">
        <f aca="false">W8-f_roll*m_ET*g</f>
        <v>6527.51999714401</v>
      </c>
      <c r="Y8" s="12" t="n">
        <f aca="false">X8/(P8*N8)/1000</f>
        <v>39.5195311381106</v>
      </c>
      <c r="Z8" s="11" t="n">
        <f aca="false">X8/(m_ET*g)</f>
        <v>0.511841919324395</v>
      </c>
    </row>
    <row r="9" customFormat="false" ht="15" hidden="false" customHeight="false" outlineLevel="0" collapsed="false">
      <c r="A9" s="6" t="s">
        <v>268</v>
      </c>
      <c r="B9" s="6" t="s">
        <v>269</v>
      </c>
      <c r="C9" s="6" t="n">
        <v>4</v>
      </c>
      <c r="D9" s="6" t="n">
        <v>1</v>
      </c>
      <c r="E9" s="6" t="s">
        <v>272</v>
      </c>
      <c r="F9" s="6" t="n">
        <v>0.11</v>
      </c>
      <c r="G9" s="6" t="n">
        <v>4.5</v>
      </c>
      <c r="H9" s="6" t="s">
        <v>271</v>
      </c>
      <c r="I9" s="6" t="n">
        <v>79</v>
      </c>
      <c r="J9" s="10" t="n">
        <v>11.9966</v>
      </c>
      <c r="K9" s="10" t="n">
        <v>0.582</v>
      </c>
      <c r="L9" s="10" t="n">
        <v>3590.317</v>
      </c>
      <c r="M9" s="10" t="n">
        <v>4.547</v>
      </c>
      <c r="N9" s="10" t="n">
        <v>0.1076</v>
      </c>
      <c r="O9" s="10" t="n">
        <v>0.006</v>
      </c>
      <c r="P9" s="10" t="n">
        <v>1.185</v>
      </c>
      <c r="Q9" s="10" t="n">
        <v>0</v>
      </c>
      <c r="R9" s="11" t="n">
        <f aca="false">IF(P9="","",0.1*P9*M9)</f>
        <v>0.5388195</v>
      </c>
      <c r="S9" s="12" t="n">
        <f aca="false">IF(R9="","",J9/R9)</f>
        <v>22.264598812775</v>
      </c>
      <c r="T9" s="11" t="n">
        <f aca="false">IF(E9="холостой","",IFERROR(1-AVERAGEIFS($L:$L,$B:$B,B9,$H:$H,H9,$E:$E,"холостой")/L9,""))</f>
        <v>0.0838634165172602</v>
      </c>
      <c r="U9" s="13" t="n">
        <f aca="false">IF(R9="","",3.6*J9/(P9*N9*M9))</f>
        <v>74.4912227936709</v>
      </c>
      <c r="V9" s="11" t="n">
        <f aca="false">(M9/3.6)^2</f>
        <v>1.59530933641975</v>
      </c>
      <c r="W9" s="14" t="n">
        <f aca="false">eta_ep*eta_tr*(J9-P_aux)*1000*(1-T9)/(M9/3.6)</f>
        <v>6637.36424299825</v>
      </c>
      <c r="X9" s="14" t="n">
        <f aca="false">W9-f_roll*m_ET*g</f>
        <v>4769.46266684295</v>
      </c>
      <c r="Y9" s="12" t="n">
        <f aca="false">X9/(P9*N9)/1000</f>
        <v>37.4057900557068</v>
      </c>
      <c r="Z9" s="11" t="n">
        <f aca="false">X9/(m_ET*g)</f>
        <v>0.373987506221513</v>
      </c>
    </row>
    <row r="10" customFormat="false" ht="15" hidden="false" customHeight="false" outlineLevel="0" collapsed="false">
      <c r="A10" s="6" t="s">
        <v>268</v>
      </c>
      <c r="B10" s="6" t="s">
        <v>269</v>
      </c>
      <c r="C10" s="6" t="n">
        <v>5</v>
      </c>
      <c r="D10" s="6" t="n">
        <v>1</v>
      </c>
      <c r="E10" s="6" t="s">
        <v>272</v>
      </c>
      <c r="F10" s="6" t="n">
        <v>0.11</v>
      </c>
      <c r="G10" s="6" t="n">
        <v>3.6</v>
      </c>
      <c r="H10" s="6" t="s">
        <v>271</v>
      </c>
      <c r="I10" s="6" t="n">
        <v>100</v>
      </c>
      <c r="J10" s="10" t="n">
        <v>10.0252</v>
      </c>
      <c r="K10" s="10" t="n">
        <v>0.375</v>
      </c>
      <c r="L10" s="10" t="n">
        <v>3622.767</v>
      </c>
      <c r="M10" s="10" t="n">
        <v>3.572</v>
      </c>
      <c r="N10" s="10" t="n">
        <v>0.1121</v>
      </c>
      <c r="O10" s="10" t="n">
        <v>0.0048</v>
      </c>
      <c r="P10" s="10" t="n">
        <v>1.207</v>
      </c>
      <c r="Q10" s="10" t="n">
        <v>0</v>
      </c>
      <c r="R10" s="11" t="n">
        <f aca="false">IF(P10="","",0.1*P10*M10)</f>
        <v>0.4311404</v>
      </c>
      <c r="S10" s="12" t="n">
        <f aca="false">IF(R10="","",J10/R10)</f>
        <v>23.2527501482116</v>
      </c>
      <c r="T10" s="11" t="n">
        <f aca="false">IF(E10="холостой","",IFERROR(1-AVERAGEIFS($L:$L,$B:$B,B10,$H:$H,H10,$E:$E,"холостой")/L10,""))</f>
        <v>0.0920694734163141</v>
      </c>
      <c r="U10" s="13" t="n">
        <f aca="false">IF(R10="","",3.6*J10/(P10*N10*M10))</f>
        <v>74.6743091289578</v>
      </c>
      <c r="V10" s="11" t="n">
        <f aca="false">(M10/3.6)^2</f>
        <v>0.984504938271605</v>
      </c>
      <c r="W10" s="14" t="n">
        <f aca="false">eta_ep*eta_tr*(J10-P_aux)*1000*(1-T10)/(M10/3.6)</f>
        <v>6976.4350627765</v>
      </c>
      <c r="X10" s="14" t="n">
        <f aca="false">W10-f_roll*m_ET*g</f>
        <v>5108.5334866212</v>
      </c>
      <c r="Y10" s="12" t="n">
        <f aca="false">X10/(P10*N10)/1000</f>
        <v>37.755772612638</v>
      </c>
      <c r="Z10" s="11" t="n">
        <f aca="false">X10/(m_ET*g)</f>
        <v>0.400575040117714</v>
      </c>
    </row>
    <row r="11" customFormat="false" ht="15" hidden="false" customHeight="false" outlineLevel="0" collapsed="false">
      <c r="A11" s="6" t="s">
        <v>268</v>
      </c>
      <c r="B11" s="6" t="s">
        <v>269</v>
      </c>
      <c r="C11" s="6" t="n">
        <v>6</v>
      </c>
      <c r="D11" s="6" t="n">
        <v>1</v>
      </c>
      <c r="E11" s="6" t="s">
        <v>272</v>
      </c>
      <c r="F11" s="6" t="n">
        <v>0.08</v>
      </c>
      <c r="G11" s="6" t="n">
        <v>4.5</v>
      </c>
      <c r="H11" s="6" t="s">
        <v>271</v>
      </c>
      <c r="I11" s="6" t="n">
        <v>80</v>
      </c>
      <c r="J11" s="10" t="n">
        <v>9.1676</v>
      </c>
      <c r="K11" s="10" t="n">
        <v>0.3946</v>
      </c>
      <c r="L11" s="10" t="n">
        <v>3509.4</v>
      </c>
      <c r="M11" s="10" t="n">
        <v>4.564</v>
      </c>
      <c r="N11" s="10" t="n">
        <v>0.0794</v>
      </c>
      <c r="O11" s="10" t="n">
        <v>0.006</v>
      </c>
      <c r="P11" s="10" t="n">
        <v>1.191</v>
      </c>
      <c r="Q11" s="10" t="n">
        <v>0</v>
      </c>
      <c r="R11" s="11" t="n">
        <f aca="false">IF(P11="","",0.1*P11*M11)</f>
        <v>0.5435724</v>
      </c>
      <c r="S11" s="12" t="n">
        <f aca="false">IF(R11="","",J11/R11)</f>
        <v>16.8654626320247</v>
      </c>
      <c r="T11" s="11" t="n">
        <f aca="false">IF(E11="холостой","",IFERROR(1-AVERAGEIFS($L:$L,$B:$B,B11,$H:$H,H11,$E:$E,"холостой")/L11,""))</f>
        <v>0.062739855815809</v>
      </c>
      <c r="U11" s="13" t="n">
        <f aca="false">IF(R11="","",3.6*J11/(P11*N11*M11))</f>
        <v>76.4680925381474</v>
      </c>
      <c r="V11" s="11" t="n">
        <f aca="false">(M11/3.6)^2</f>
        <v>1.60726049382716</v>
      </c>
      <c r="W11" s="14" t="n">
        <f aca="false">eta_ep*eta_tr*(J11-P_aux)*1000*(1-T11)/(M11/3.6)</f>
        <v>5145.48236960771</v>
      </c>
      <c r="X11" s="14" t="n">
        <f aca="false">W11-f_roll*m_ET*g</f>
        <v>3277.58079345242</v>
      </c>
      <c r="Y11" s="12" t="n">
        <f aca="false">X11/(P11*N11)/1000</f>
        <v>34.6594081286857</v>
      </c>
      <c r="Z11" s="11" t="n">
        <f aca="false">X11/(m_ET*g)</f>
        <v>0.257004688579347</v>
      </c>
    </row>
    <row r="12" customFormat="false" ht="15" hidden="false" customHeight="false" outlineLevel="0" collapsed="false">
      <c r="A12" s="6" t="s">
        <v>268</v>
      </c>
      <c r="B12" s="6" t="s">
        <v>269</v>
      </c>
      <c r="C12" s="6" t="n">
        <v>7</v>
      </c>
      <c r="D12" s="6" t="n">
        <v>1</v>
      </c>
      <c r="E12" s="6" t="s">
        <v>272</v>
      </c>
      <c r="F12" s="6" t="n">
        <v>0.08</v>
      </c>
      <c r="G12" s="6" t="n">
        <v>3.6</v>
      </c>
      <c r="H12" s="6" t="s">
        <v>271</v>
      </c>
      <c r="I12" s="6" t="n">
        <v>100</v>
      </c>
      <c r="J12" s="10" t="n">
        <v>7.483</v>
      </c>
      <c r="K12" s="10" t="n">
        <v>0.2448</v>
      </c>
      <c r="L12" s="10" t="n">
        <v>3501.467</v>
      </c>
      <c r="M12" s="10" t="n">
        <v>3.63</v>
      </c>
      <c r="N12" s="10" t="n">
        <v>0.0772</v>
      </c>
      <c r="O12" s="10" t="n">
        <v>0.0049</v>
      </c>
      <c r="P12" s="10" t="n">
        <v>1.205</v>
      </c>
      <c r="Q12" s="10" t="n">
        <v>0</v>
      </c>
      <c r="R12" s="11" t="n">
        <f aca="false">IF(P12="","",0.1*P12*M12)</f>
        <v>0.437415</v>
      </c>
      <c r="S12" s="12" t="n">
        <f aca="false">IF(R12="","",J12/R12)</f>
        <v>17.1073237086062</v>
      </c>
      <c r="T12" s="11" t="n">
        <f aca="false">IF(E12="холостой","",IFERROR(1-AVERAGEIFS($L:$L,$B:$B,B12,$H:$H,H12,$E:$E,"холостой")/L12,""))</f>
        <v>0.0606163787920891</v>
      </c>
      <c r="U12" s="13" t="n">
        <f aca="false">IF(R12="","",3.6*J12/(P12*N12*M12))</f>
        <v>79.7750846515317</v>
      </c>
      <c r="V12" s="11" t="n">
        <f aca="false">(M12/3.6)^2</f>
        <v>1.01673611111111</v>
      </c>
      <c r="W12" s="14" t="n">
        <f aca="false">eta_ep*eta_tr*(J12-P_aux)*1000*(1-T12)/(M12/3.6)</f>
        <v>5268.72467380329</v>
      </c>
      <c r="X12" s="14" t="n">
        <f aca="false">W12-f_roll*m_ET*g</f>
        <v>3400.823097648</v>
      </c>
      <c r="Y12" s="12" t="n">
        <f aca="false">X12/(P12*N12)/1000</f>
        <v>36.5577698455055</v>
      </c>
      <c r="Z12" s="11" t="n">
        <f aca="false">X12/(m_ET*g)</f>
        <v>0.266668477820748</v>
      </c>
    </row>
    <row r="13" customFormat="false" ht="15" hidden="false" customHeight="false" outlineLevel="0" collapsed="false">
      <c r="A13" s="6" t="s">
        <v>268</v>
      </c>
      <c r="B13" s="6" t="s">
        <v>269</v>
      </c>
      <c r="C13" s="6" t="n">
        <v>8</v>
      </c>
      <c r="D13" s="6" t="n">
        <v>1</v>
      </c>
      <c r="E13" s="6" t="s">
        <v>272</v>
      </c>
      <c r="F13" s="6" t="n">
        <v>0.14</v>
      </c>
      <c r="G13" s="6" t="n">
        <v>3.6</v>
      </c>
      <c r="H13" s="6" t="s">
        <v>271</v>
      </c>
      <c r="I13" s="6" t="n">
        <v>100</v>
      </c>
      <c r="J13" s="10" t="n">
        <v>11.9499</v>
      </c>
      <c r="K13" s="10" t="n">
        <v>0.4091</v>
      </c>
      <c r="L13" s="10" t="n">
        <v>3791.433</v>
      </c>
      <c r="M13" s="10" t="n">
        <v>3.581</v>
      </c>
      <c r="N13" s="10" t="n">
        <v>0.1382</v>
      </c>
      <c r="O13" s="10" t="n">
        <v>0.0052</v>
      </c>
      <c r="P13" s="10" t="n">
        <v>1.187</v>
      </c>
      <c r="Q13" s="10" t="n">
        <v>0</v>
      </c>
      <c r="R13" s="11" t="n">
        <f aca="false">IF(P13="","",0.1*P13*M13)</f>
        <v>0.4250647</v>
      </c>
      <c r="S13" s="12" t="n">
        <f aca="false">IF(R13="","",J13/R13)</f>
        <v>28.1131319537943</v>
      </c>
      <c r="T13" s="11" t="n">
        <f aca="false">IF(E13="холостой","",IFERROR(1-AVERAGEIFS($L:$L,$B:$B,B13,$H:$H,H13,$E:$E,"холостой")/L13,""))</f>
        <v>0.132459745431345</v>
      </c>
      <c r="U13" s="13" t="n">
        <f aca="false">IF(R13="","",3.6*J13/(P13*N13*M13))</f>
        <v>73.2324710807957</v>
      </c>
      <c r="V13" s="11" t="n">
        <f aca="false">(M13/3.6)^2</f>
        <v>0.989472299382716</v>
      </c>
      <c r="W13" s="14" t="n">
        <f aca="false">eta_ep*eta_tr*(J13-P_aux)*1000*(1-T13)/(M13/3.6)</f>
        <v>7949.24591897782</v>
      </c>
      <c r="X13" s="14" t="n">
        <f aca="false">W13-f_roll*m_ET*g</f>
        <v>6081.34434282253</v>
      </c>
      <c r="Y13" s="12" t="n">
        <f aca="false">X13/(P13*N13)/1000</f>
        <v>37.0715575440556</v>
      </c>
      <c r="Z13" s="11" t="n">
        <f aca="false">X13/(m_ET*g)</f>
        <v>0.476855982343176</v>
      </c>
    </row>
    <row r="14" customFormat="false" ht="15" hidden="false" customHeight="false" outlineLevel="0" collapsed="false">
      <c r="A14" s="6" t="s">
        <v>268</v>
      </c>
      <c r="B14" s="6" t="s">
        <v>269</v>
      </c>
      <c r="C14" s="6" t="n">
        <v>9</v>
      </c>
      <c r="D14" s="6" t="n">
        <v>2</v>
      </c>
      <c r="E14" s="6" t="s">
        <v>272</v>
      </c>
      <c r="F14" s="6" t="n">
        <v>0.08</v>
      </c>
      <c r="G14" s="6" t="n">
        <v>5.4</v>
      </c>
      <c r="H14" s="6" t="s">
        <v>271</v>
      </c>
      <c r="I14" s="6" t="n">
        <v>67</v>
      </c>
      <c r="J14" s="10" t="n">
        <v>12.0397</v>
      </c>
      <c r="K14" s="10" t="n">
        <v>0.3817</v>
      </c>
      <c r="L14" s="10" t="n">
        <v>3534.25</v>
      </c>
      <c r="M14" s="10" t="n">
        <v>5.407</v>
      </c>
      <c r="N14" s="10" t="n">
        <v>0.0807</v>
      </c>
      <c r="O14" s="10" t="n">
        <v>0.0053</v>
      </c>
      <c r="P14" s="10" t="n">
        <v>1.195</v>
      </c>
      <c r="Q14" s="10" t="n">
        <v>0</v>
      </c>
      <c r="R14" s="11" t="n">
        <f aca="false">IF(P14="","",0.1*P14*M14)</f>
        <v>0.6461365</v>
      </c>
      <c r="S14" s="12" t="n">
        <f aca="false">IF(R14="","",J14/R14)</f>
        <v>18.6333692648535</v>
      </c>
      <c r="T14" s="11" t="n">
        <f aca="false">IF(E14="холостой","",IFERROR(1-AVERAGEIFS($L:$L,$B:$B,B14,$H:$H,H14,$E:$E,"холостой")/L14,""))</f>
        <v>0.0693299144089977</v>
      </c>
      <c r="U14" s="13" t="n">
        <f aca="false">IF(R14="","",3.6*J14/(P14*N14*M14))</f>
        <v>83.1228368692349</v>
      </c>
      <c r="V14" s="11" t="n">
        <f aca="false">(M14/3.6)^2</f>
        <v>2.25583711419753</v>
      </c>
      <c r="W14" s="14" t="n">
        <f aca="false">eta_ep*eta_tr*(J14-P_aux)*1000*(1-T14)/(M14/3.6)</f>
        <v>5690.89972783112</v>
      </c>
      <c r="X14" s="14" t="n">
        <f aca="false">W14-f_roll*m_ET*g</f>
        <v>3822.99815167582</v>
      </c>
      <c r="Y14" s="12" t="n">
        <f aca="false">X14/(P14*N14)/1000</f>
        <v>39.6426472515678</v>
      </c>
      <c r="Z14" s="11" t="n">
        <f aca="false">X14/(m_ET*g)</f>
        <v>0.299772457592396</v>
      </c>
    </row>
    <row r="15" customFormat="false" ht="15" hidden="false" customHeight="false" outlineLevel="0" collapsed="false">
      <c r="A15" s="6" t="s">
        <v>268</v>
      </c>
      <c r="B15" s="6" t="s">
        <v>269</v>
      </c>
      <c r="C15" s="6" t="n">
        <v>10</v>
      </c>
      <c r="D15" s="6" t="n">
        <v>2</v>
      </c>
      <c r="E15" s="6" t="s">
        <v>272</v>
      </c>
      <c r="F15" s="6" t="n">
        <v>0.08</v>
      </c>
      <c r="G15" s="6" t="n">
        <v>4.5</v>
      </c>
      <c r="H15" s="6" t="s">
        <v>271</v>
      </c>
      <c r="I15" s="6" t="n">
        <v>80</v>
      </c>
      <c r="J15" s="10" t="n">
        <v>9.4895</v>
      </c>
      <c r="K15" s="10" t="n">
        <v>0.4175</v>
      </c>
      <c r="L15" s="10" t="n">
        <v>3509.967</v>
      </c>
      <c r="M15" s="10" t="n">
        <v>4.511</v>
      </c>
      <c r="N15" s="10" t="n">
        <v>0.0789</v>
      </c>
      <c r="O15" s="10" t="n">
        <v>0.0053</v>
      </c>
      <c r="P15" s="10" t="n">
        <v>1.198</v>
      </c>
      <c r="Q15" s="10" t="n">
        <v>0</v>
      </c>
      <c r="R15" s="11" t="n">
        <f aca="false">IF(P15="","",0.1*P15*M15)</f>
        <v>0.5404178</v>
      </c>
      <c r="S15" s="12" t="n">
        <f aca="false">IF(R15="","",J15/R15)</f>
        <v>17.5595622498001</v>
      </c>
      <c r="T15" s="11" t="n">
        <f aca="false">IF(E15="холостой","",IFERROR(1-AVERAGEIFS($L:$L,$B:$B,B15,$H:$H,H15,$E:$E,"холостой")/L15,""))</f>
        <v>0.0628912608010275</v>
      </c>
      <c r="U15" s="13" t="n">
        <f aca="false">IF(R15="","",3.6*J15/(P15*N15*M15))</f>
        <v>80.119675664487</v>
      </c>
      <c r="V15" s="11" t="n">
        <f aca="false">(M15/3.6)^2</f>
        <v>1.57014822530864</v>
      </c>
      <c r="W15" s="14" t="n">
        <f aca="false">eta_ep*eta_tr*(J15-P_aux)*1000*(1-T15)/(M15/3.6)</f>
        <v>5391.52175865747</v>
      </c>
      <c r="X15" s="14" t="n">
        <f aca="false">W15-f_roll*m_ET*g</f>
        <v>3523.62018250217</v>
      </c>
      <c r="Y15" s="12" t="n">
        <f aca="false">X15/(P15*N15)/1000</f>
        <v>37.2782286330849</v>
      </c>
      <c r="Z15" s="11" t="n">
        <f aca="false">X15/(m_ET*g)</f>
        <v>0.276297356112458</v>
      </c>
    </row>
    <row r="16" customFormat="false" ht="15" hidden="false" customHeight="false" outlineLevel="0" collapsed="false">
      <c r="A16" s="6" t="s">
        <v>268</v>
      </c>
      <c r="B16" s="6" t="s">
        <v>269</v>
      </c>
      <c r="C16" s="6" t="n">
        <v>11</v>
      </c>
      <c r="D16" s="6" t="n">
        <v>2</v>
      </c>
      <c r="E16" s="6" t="s">
        <v>272</v>
      </c>
      <c r="F16" s="6" t="n">
        <v>0.08</v>
      </c>
      <c r="G16" s="6" t="n">
        <v>3.6</v>
      </c>
      <c r="H16" s="6" t="s">
        <v>271</v>
      </c>
      <c r="I16" s="6" t="n">
        <v>100</v>
      </c>
      <c r="J16" s="10" t="n">
        <v>7.6455</v>
      </c>
      <c r="K16" s="10" t="n">
        <v>0.2684</v>
      </c>
      <c r="L16" s="10" t="n">
        <v>3502.617</v>
      </c>
      <c r="M16" s="10" t="n">
        <v>3.591</v>
      </c>
      <c r="N16" s="10" t="n">
        <v>0.081</v>
      </c>
      <c r="O16" s="10" t="n">
        <v>0.0049</v>
      </c>
      <c r="P16" s="10" t="n">
        <v>1.197</v>
      </c>
      <c r="Q16" s="10" t="n">
        <v>0</v>
      </c>
      <c r="R16" s="11" t="n">
        <f aca="false">IF(P16="","",0.1*P16*M16)</f>
        <v>0.4298427</v>
      </c>
      <c r="S16" s="12" t="n">
        <f aca="false">IF(R16="","",J16/R16)</f>
        <v>17.7867391955243</v>
      </c>
      <c r="T16" s="11" t="n">
        <f aca="false">IF(E16="холостой","",IFERROR(1-AVERAGEIFS($L:$L,$B:$B,B16,$H:$H,H16,$E:$E,"холостой")/L16,""))</f>
        <v>0.0609248027974513</v>
      </c>
      <c r="U16" s="13" t="n">
        <f aca="false">IF(R16="","",3.6*J16/(P16*N16*M16))</f>
        <v>79.0521742023303</v>
      </c>
      <c r="V16" s="11" t="n">
        <f aca="false">(M16/3.6)^2</f>
        <v>0.99500625</v>
      </c>
      <c r="W16" s="14" t="n">
        <f aca="false">eta_ep*eta_tr*(J16-P_aux)*1000*(1-T16)/(M16/3.6)</f>
        <v>5442.66632694113</v>
      </c>
      <c r="X16" s="14" t="n">
        <f aca="false">W16-f_roll*m_ET*g</f>
        <v>3574.76475078584</v>
      </c>
      <c r="Y16" s="12" t="n">
        <f aca="false">X16/(P16*N16)/1000</f>
        <v>36.8695891043023</v>
      </c>
      <c r="Z16" s="11" t="n">
        <f aca="false">X16/(m_ET*g)</f>
        <v>0.280307751179004</v>
      </c>
    </row>
    <row r="17" customFormat="false" ht="15" hidden="false" customHeight="false" outlineLevel="0" collapsed="false">
      <c r="A17" s="6" t="s">
        <v>268</v>
      </c>
      <c r="B17" s="6" t="s">
        <v>269</v>
      </c>
      <c r="C17" s="6" t="n">
        <v>12</v>
      </c>
      <c r="D17" s="6" t="n">
        <v>2</v>
      </c>
      <c r="E17" s="6" t="s">
        <v>272</v>
      </c>
      <c r="F17" s="6" t="n">
        <v>0.14</v>
      </c>
      <c r="G17" s="6" t="n">
        <v>3.6</v>
      </c>
      <c r="H17" s="6" t="s">
        <v>271</v>
      </c>
      <c r="I17" s="6" t="n">
        <v>100</v>
      </c>
      <c r="J17" s="10" t="n">
        <v>12.2488</v>
      </c>
      <c r="K17" s="10" t="n">
        <v>0.4212</v>
      </c>
      <c r="L17" s="10" t="n">
        <v>3790.533</v>
      </c>
      <c r="M17" s="10" t="n">
        <v>3.581</v>
      </c>
      <c r="N17" s="10" t="n">
        <v>0.1414</v>
      </c>
      <c r="O17" s="10" t="n">
        <v>0.0046</v>
      </c>
      <c r="P17" s="10" t="n">
        <v>1.205</v>
      </c>
      <c r="Q17" s="10" t="n">
        <v>0</v>
      </c>
      <c r="R17" s="11" t="n">
        <f aca="false">IF(P17="","",0.1*P17*M17)</f>
        <v>0.4315105</v>
      </c>
      <c r="S17" s="12" t="n">
        <f aca="false">IF(R17="","",J17/R17)</f>
        <v>28.3858677830551</v>
      </c>
      <c r="T17" s="11" t="n">
        <f aca="false">IF(E17="холостой","",IFERROR(1-AVERAGEIFS($L:$L,$B:$B,B17,$H:$H,H17,$E:$E,"холостой")/L17,""))</f>
        <v>0.13225376220178</v>
      </c>
      <c r="U17" s="13" t="n">
        <f aca="false">IF(R17="","",3.6*J17/(P17*N17*M17))</f>
        <v>72.2695360813284</v>
      </c>
      <c r="V17" s="11" t="n">
        <f aca="false">(M17/3.6)^2</f>
        <v>0.989472299382716</v>
      </c>
      <c r="W17" s="14" t="n">
        <f aca="false">eta_ep*eta_tr*(J17-P_aux)*1000*(1-T17)/(M17/3.6)</f>
        <v>8153.05465814175</v>
      </c>
      <c r="X17" s="14" t="n">
        <f aca="false">W17-f_roll*m_ET*g</f>
        <v>6285.15308198646</v>
      </c>
      <c r="Y17" s="12" t="n">
        <f aca="false">X17/(P17*N17)/1000</f>
        <v>36.887515373746</v>
      </c>
      <c r="Z17" s="11" t="n">
        <f aca="false">X17/(m_ET*g)</f>
        <v>0.492837221201792</v>
      </c>
    </row>
    <row r="18" customFormat="false" ht="15" hidden="false" customHeight="false" outlineLevel="0" collapsed="false">
      <c r="A18" s="6" t="s">
        <v>268</v>
      </c>
      <c r="B18" s="6" t="s">
        <v>269</v>
      </c>
      <c r="C18" s="6" t="n">
        <v>13</v>
      </c>
      <c r="D18" s="6" t="n">
        <v>2</v>
      </c>
      <c r="E18" s="6" t="s">
        <v>272</v>
      </c>
      <c r="F18" s="6" t="n">
        <v>0.11</v>
      </c>
      <c r="G18" s="6" t="n">
        <v>3.6</v>
      </c>
      <c r="H18" s="6" t="s">
        <v>271</v>
      </c>
      <c r="I18" s="6" t="n">
        <v>100</v>
      </c>
      <c r="J18" s="10" t="n">
        <v>9.537</v>
      </c>
      <c r="K18" s="10" t="n">
        <v>0.3207</v>
      </c>
      <c r="L18" s="10" t="n">
        <v>3623.8</v>
      </c>
      <c r="M18" s="10" t="n">
        <v>3.627</v>
      </c>
      <c r="N18" s="10" t="n">
        <v>0.1072</v>
      </c>
      <c r="O18" s="10" t="n">
        <v>0.0053</v>
      </c>
      <c r="P18" s="10" t="n">
        <v>1.191</v>
      </c>
      <c r="Q18" s="10" t="n">
        <v>0</v>
      </c>
      <c r="R18" s="11" t="n">
        <f aca="false">IF(P18="","",0.1*P18*M18)</f>
        <v>0.4319757</v>
      </c>
      <c r="S18" s="12" t="n">
        <f aca="false">IF(R18="","",J18/R18)</f>
        <v>22.0776307556189</v>
      </c>
      <c r="T18" s="11" t="n">
        <f aca="false">IF(E18="холостой","",IFERROR(1-AVERAGEIFS($L:$L,$B:$B,B18,$H:$H,H18,$E:$E,"холостой")/L18,""))</f>
        <v>0.0923282879849882</v>
      </c>
      <c r="U18" s="13" t="n">
        <f aca="false">IF(R18="","",3.6*J18/(P18*N18*M18))</f>
        <v>74.1412973136455</v>
      </c>
      <c r="V18" s="11" t="n">
        <f aca="false">(M18/3.6)^2</f>
        <v>1.01505625</v>
      </c>
      <c r="W18" s="14" t="n">
        <f aca="false">eta_ep*eta_tr*(J18-P_aux)*1000*(1-T18)/(M18/3.6)</f>
        <v>6528.08378332592</v>
      </c>
      <c r="X18" s="14" t="n">
        <f aca="false">W18-f_roll*m_ET*g</f>
        <v>4660.18220717063</v>
      </c>
      <c r="Y18" s="12" t="n">
        <f aca="false">X18/(P18*N18)/1000</f>
        <v>36.500292986975</v>
      </c>
      <c r="Z18" s="11" t="n">
        <f aca="false">X18/(m_ET*g)</f>
        <v>0.365418506011968</v>
      </c>
    </row>
    <row r="19" customFormat="false" ht="15" hidden="false" customHeight="false" outlineLevel="0" collapsed="false">
      <c r="A19" s="6" t="s">
        <v>268</v>
      </c>
      <c r="B19" s="6" t="s">
        <v>269</v>
      </c>
      <c r="C19" s="6" t="n">
        <v>14</v>
      </c>
      <c r="D19" s="6" t="n">
        <v>2</v>
      </c>
      <c r="E19" s="6" t="s">
        <v>272</v>
      </c>
      <c r="F19" s="6" t="n">
        <v>0.14</v>
      </c>
      <c r="G19" s="6" t="n">
        <v>4.5</v>
      </c>
      <c r="H19" s="6" t="s">
        <v>271</v>
      </c>
      <c r="I19" s="6" t="n">
        <v>81</v>
      </c>
      <c r="J19" s="10" t="n">
        <v>15.9248</v>
      </c>
      <c r="K19" s="10" t="n">
        <v>0.5927</v>
      </c>
      <c r="L19" s="10" t="n">
        <v>3860.217</v>
      </c>
      <c r="M19" s="10" t="n">
        <v>4.441</v>
      </c>
      <c r="N19" s="10" t="n">
        <v>0.1399</v>
      </c>
      <c r="O19" s="10" t="n">
        <v>0.0049</v>
      </c>
      <c r="P19" s="10" t="n">
        <v>1.193</v>
      </c>
      <c r="Q19" s="10" t="n">
        <v>0</v>
      </c>
      <c r="R19" s="11" t="n">
        <f aca="false">IF(P19="","",0.1*P19*M19)</f>
        <v>0.5298113</v>
      </c>
      <c r="S19" s="12" t="n">
        <f aca="false">IF(R19="","",J19/R19)</f>
        <v>30.0574940549588</v>
      </c>
      <c r="T19" s="11" t="n">
        <f aca="false">IF(E19="холостой","",IFERROR(1-AVERAGEIFS($L:$L,$B:$B,B19,$H:$H,H19,$E:$E,"холостой")/L19,""))</f>
        <v>0.147918174030113</v>
      </c>
      <c r="U19" s="13" t="n">
        <f aca="false">IF(R19="","",3.6*J19/(P19*N19*M19))</f>
        <v>77.3459461028247</v>
      </c>
      <c r="V19" s="11" t="n">
        <f aca="false">(M19/3.6)^2</f>
        <v>1.52179637345679</v>
      </c>
      <c r="W19" s="14" t="n">
        <f aca="false">eta_ep*eta_tr*(J19-P_aux)*1000*(1-T19)/(M19/3.6)</f>
        <v>8421.81161481967</v>
      </c>
      <c r="X19" s="14" t="n">
        <f aca="false">W19-f_roll*m_ET*g</f>
        <v>6553.91003866438</v>
      </c>
      <c r="Y19" s="12" t="n">
        <f aca="false">X19/(P19*N19)/1000</f>
        <v>39.2683196575232</v>
      </c>
      <c r="Z19" s="11" t="n">
        <f aca="false">X19/(m_ET*g)</f>
        <v>0.513911239603574</v>
      </c>
    </row>
    <row r="20" customFormat="false" ht="15" hidden="false" customHeight="false" outlineLevel="0" collapsed="false">
      <c r="A20" s="6" t="s">
        <v>268</v>
      </c>
      <c r="B20" s="6" t="s">
        <v>269</v>
      </c>
      <c r="C20" s="6" t="n">
        <v>15</v>
      </c>
      <c r="D20" s="6" t="n">
        <v>2</v>
      </c>
      <c r="E20" s="6" t="s">
        <v>272</v>
      </c>
      <c r="F20" s="6" t="n">
        <v>0.11</v>
      </c>
      <c r="G20" s="6" t="n">
        <v>4.5</v>
      </c>
      <c r="H20" s="6" t="s">
        <v>271</v>
      </c>
      <c r="I20" s="6" t="n">
        <v>80</v>
      </c>
      <c r="J20" s="10" t="n">
        <v>12.0488</v>
      </c>
      <c r="K20" s="10" t="n">
        <v>0.3691</v>
      </c>
      <c r="L20" s="10" t="n">
        <v>3635.617</v>
      </c>
      <c r="M20" s="10" t="n">
        <v>4.502</v>
      </c>
      <c r="N20" s="10" t="n">
        <v>0.1058</v>
      </c>
      <c r="O20" s="10" t="n">
        <v>0.0042</v>
      </c>
      <c r="P20" s="10" t="n">
        <v>1.19</v>
      </c>
      <c r="Q20" s="10" t="n">
        <v>0</v>
      </c>
      <c r="R20" s="11" t="n">
        <f aca="false">IF(P20="","",0.1*P20*M20)</f>
        <v>0.535738</v>
      </c>
      <c r="S20" s="12" t="n">
        <f aca="false">IF(R20="","",J20/R20)</f>
        <v>22.490097771672</v>
      </c>
      <c r="T20" s="11" t="n">
        <f aca="false">IF(E20="холостой","",IFERROR(1-AVERAGEIFS($L:$L,$B:$B,B20,$H:$H,H20,$E:$E,"холостой")/L20,""))</f>
        <v>0.0952785318145449</v>
      </c>
      <c r="U20" s="13" t="n">
        <f aca="false">IF(R20="","",3.6*J20/(P20*N20*M20))</f>
        <v>76.525852531209</v>
      </c>
      <c r="V20" s="11" t="n">
        <f aca="false">(M20/3.6)^2</f>
        <v>1.56388919753086</v>
      </c>
      <c r="W20" s="14" t="n">
        <f aca="false">eta_ep*eta_tr*(J20-P_aux)*1000*(1-T20)/(M20/3.6)</f>
        <v>6649.42454047837</v>
      </c>
      <c r="X20" s="14" t="n">
        <f aca="false">W20-f_roll*m_ET*g</f>
        <v>4781.52296432307</v>
      </c>
      <c r="Y20" s="12" t="n">
        <f aca="false">X20/(P20*N20)/1000</f>
        <v>37.9781335032253</v>
      </c>
      <c r="Z20" s="11" t="n">
        <f aca="false">X20/(m_ET*g)</f>
        <v>0.374933189392541</v>
      </c>
    </row>
    <row r="21" customFormat="false" ht="15" hidden="false" customHeight="false" outlineLevel="0" collapsed="false">
      <c r="A21" s="6" t="s">
        <v>268</v>
      </c>
      <c r="B21" s="6" t="s">
        <v>269</v>
      </c>
      <c r="C21" s="6" t="n">
        <v>16</v>
      </c>
      <c r="D21" s="6" t="n">
        <v>2</v>
      </c>
      <c r="E21" s="6" t="s">
        <v>272</v>
      </c>
      <c r="F21" s="6" t="n">
        <v>0.11</v>
      </c>
      <c r="G21" s="6" t="n">
        <v>5.4</v>
      </c>
      <c r="H21" s="6" t="s">
        <v>271</v>
      </c>
      <c r="I21" s="6" t="n">
        <v>67</v>
      </c>
      <c r="J21" s="10" t="n">
        <v>15.5588</v>
      </c>
      <c r="K21" s="10" t="n">
        <v>0.752</v>
      </c>
      <c r="L21" s="10" t="n">
        <v>3670.117</v>
      </c>
      <c r="M21" s="10" t="n">
        <v>5.339</v>
      </c>
      <c r="N21" s="10" t="n">
        <v>0.1113</v>
      </c>
      <c r="O21" s="10" t="n">
        <v>0.0058</v>
      </c>
      <c r="P21" s="10" t="n">
        <v>1.198</v>
      </c>
      <c r="Q21" s="10" t="n">
        <v>0</v>
      </c>
      <c r="R21" s="11" t="n">
        <f aca="false">IF(P21="","",0.1*P21*M21)</f>
        <v>0.6396122</v>
      </c>
      <c r="S21" s="12" t="n">
        <f aca="false">IF(R21="","",J21/R21)</f>
        <v>24.325364650643</v>
      </c>
      <c r="T21" s="11" t="n">
        <f aca="false">IF(E21="холостой","",IFERROR(1-AVERAGEIFS($L:$L,$B:$B,B21,$H:$H,H21,$E:$E,"холостой")/L21,""))</f>
        <v>0.103783135524017</v>
      </c>
      <c r="U21" s="13" t="n">
        <f aca="false">IF(R21="","",3.6*J21/(P21*N21*M21))</f>
        <v>78.6804247460151</v>
      </c>
      <c r="V21" s="11" t="n">
        <f aca="false">(M21/3.6)^2</f>
        <v>2.1994537808642</v>
      </c>
      <c r="W21" s="14" t="n">
        <f aca="false">eta_ep*eta_tr*(J21-P_aux)*1000*(1-T21)/(M21/3.6)</f>
        <v>7196.86713724626</v>
      </c>
      <c r="X21" s="14" t="n">
        <f aca="false">W21-f_roll*m_ET*g</f>
        <v>5328.96556109096</v>
      </c>
      <c r="Y21" s="12" t="n">
        <f aca="false">X21/(P21*N21)/1000</f>
        <v>39.9660227444885</v>
      </c>
      <c r="Z21" s="11" t="n">
        <f aca="false">X21/(m_ET*g)</f>
        <v>0.41785976327852</v>
      </c>
    </row>
    <row r="22" customFormat="false" ht="15" hidden="false" customHeight="false" outlineLevel="0" collapsed="false">
      <c r="A22" s="6" t="s">
        <v>268</v>
      </c>
      <c r="B22" s="6" t="s">
        <v>269</v>
      </c>
      <c r="C22" s="6" t="n">
        <v>17</v>
      </c>
      <c r="D22" s="6" t="n">
        <v>3</v>
      </c>
      <c r="E22" s="6" t="s">
        <v>272</v>
      </c>
      <c r="F22" s="6" t="n">
        <v>0.14</v>
      </c>
      <c r="G22" s="6" t="n">
        <v>4.5</v>
      </c>
      <c r="H22" s="6" t="s">
        <v>271</v>
      </c>
      <c r="I22" s="6" t="n">
        <v>79</v>
      </c>
      <c r="J22" s="10" t="n">
        <v>14.8919</v>
      </c>
      <c r="K22" s="10" t="n">
        <v>0.5294</v>
      </c>
      <c r="L22" s="10" t="n">
        <v>3763.583</v>
      </c>
      <c r="M22" s="10" t="n">
        <v>4.533</v>
      </c>
      <c r="N22" s="10" t="n">
        <v>0.1373</v>
      </c>
      <c r="O22" s="10" t="n">
        <v>0.0048</v>
      </c>
      <c r="P22" s="10" t="n">
        <v>1.199</v>
      </c>
      <c r="Q22" s="10" t="n">
        <v>0</v>
      </c>
      <c r="R22" s="11" t="n">
        <f aca="false">IF(P22="","",0.1*P22*M22)</f>
        <v>0.5435067</v>
      </c>
      <c r="S22" s="12" t="n">
        <f aca="false">IF(R22="","",J22/R22)</f>
        <v>27.3996622304748</v>
      </c>
      <c r="T22" s="11" t="n">
        <f aca="false">IF(E22="холостой","",IFERROR(1-AVERAGEIFS($L:$L,$B:$B,B22,$H:$H,H22,$E:$E,"холостой")/L22,""))</f>
        <v>0.126040066075333</v>
      </c>
      <c r="U22" s="13" t="n">
        <f aca="false">IF(R22="","",3.6*J22/(P22*N22*M22))</f>
        <v>71.8417946319806</v>
      </c>
      <c r="V22" s="11" t="n">
        <f aca="false">(M22/3.6)^2</f>
        <v>1.58550069444444</v>
      </c>
      <c r="W22" s="14" t="n">
        <f aca="false">eta_ep*eta_tr*(J22-P_aux)*1000*(1-T22)/(M22/3.6)</f>
        <v>7907.55849850661</v>
      </c>
      <c r="X22" s="14" t="n">
        <f aca="false">W22-f_roll*m_ET*g</f>
        <v>6039.65692235131</v>
      </c>
      <c r="Y22" s="12" t="n">
        <f aca="false">X22/(P22*N22)/1000</f>
        <v>36.6878742867862</v>
      </c>
      <c r="Z22" s="11" t="n">
        <f aca="false">X22/(m_ET*g)</f>
        <v>0.473587149874642</v>
      </c>
    </row>
    <row r="23" customFormat="false" ht="15" hidden="false" customHeight="false" outlineLevel="0" collapsed="false">
      <c r="A23" s="6" t="s">
        <v>268</v>
      </c>
      <c r="B23" s="6" t="s">
        <v>269</v>
      </c>
      <c r="C23" s="6" t="n">
        <v>18</v>
      </c>
      <c r="D23" s="6" t="n">
        <v>3</v>
      </c>
      <c r="E23" s="6" t="s">
        <v>272</v>
      </c>
      <c r="F23" s="6" t="n">
        <v>0.08</v>
      </c>
      <c r="G23" s="6" t="n">
        <v>3.6</v>
      </c>
      <c r="H23" s="6" t="s">
        <v>271</v>
      </c>
      <c r="I23" s="6" t="n">
        <v>100</v>
      </c>
      <c r="J23" s="10" t="n">
        <v>7.1489</v>
      </c>
      <c r="K23" s="10" t="n">
        <v>0.3018</v>
      </c>
      <c r="L23" s="10" t="n">
        <v>3502.017</v>
      </c>
      <c r="M23" s="10" t="n">
        <v>3.629</v>
      </c>
      <c r="N23" s="10" t="n">
        <v>0.077</v>
      </c>
      <c r="O23" s="10" t="n">
        <v>0.0046</v>
      </c>
      <c r="P23" s="10" t="n">
        <v>1.193</v>
      </c>
      <c r="Q23" s="10" t="n">
        <v>0</v>
      </c>
      <c r="R23" s="11" t="n">
        <f aca="false">IF(P23="","",0.1*P23*M23)</f>
        <v>0.4329397</v>
      </c>
      <c r="S23" s="12" t="n">
        <f aca="false">IF(R23="","",J23/R23)</f>
        <v>16.5124612041816</v>
      </c>
      <c r="T23" s="11" t="n">
        <f aca="false">IF(E23="холостой","",IFERROR(1-AVERAGEIFS($L:$L,$B:$B,B23,$H:$H,H23,$E:$E,"холостой")/L23,""))</f>
        <v>0.0607639111974613</v>
      </c>
      <c r="U23" s="13" t="n">
        <f aca="false">IF(R23="","",3.6*J23/(P23*N23*M23))</f>
        <v>77.2011173182514</v>
      </c>
      <c r="V23" s="11" t="n">
        <f aca="false">(M23/3.6)^2</f>
        <v>1.01617600308642</v>
      </c>
      <c r="W23" s="14" t="n">
        <f aca="false">eta_ep*eta_tr*(J23-P_aux)*1000*(1-T23)/(M23/3.6)</f>
        <v>5028.28494973411</v>
      </c>
      <c r="X23" s="14" t="n">
        <f aca="false">W23-f_roll*m_ET*g</f>
        <v>3160.38337357881</v>
      </c>
      <c r="Y23" s="12" t="n">
        <f aca="false">X23/(P23*N23)/1000</f>
        <v>34.4039731069639</v>
      </c>
      <c r="Z23" s="11" t="n">
        <f aca="false">X23/(m_ET*g)</f>
        <v>0.247814896383503</v>
      </c>
    </row>
    <row r="24" customFormat="false" ht="15" hidden="false" customHeight="false" outlineLevel="0" collapsed="false">
      <c r="A24" s="6" t="s">
        <v>268</v>
      </c>
      <c r="B24" s="6" t="s">
        <v>269</v>
      </c>
      <c r="C24" s="6" t="n">
        <v>19</v>
      </c>
      <c r="D24" s="6" t="n">
        <v>3</v>
      </c>
      <c r="E24" s="6" t="s">
        <v>272</v>
      </c>
      <c r="F24" s="6" t="n">
        <v>0.11</v>
      </c>
      <c r="G24" s="6" t="n">
        <v>5.4</v>
      </c>
      <c r="H24" s="6" t="s">
        <v>271</v>
      </c>
      <c r="I24" s="6" t="n">
        <v>67</v>
      </c>
      <c r="J24" s="10" t="n">
        <v>15.4618</v>
      </c>
      <c r="K24" s="10" t="n">
        <v>0.6421</v>
      </c>
      <c r="L24" s="10" t="n">
        <v>3669.833</v>
      </c>
      <c r="M24" s="10" t="n">
        <v>5.386</v>
      </c>
      <c r="N24" s="10" t="n">
        <v>0.1123</v>
      </c>
      <c r="O24" s="10" t="n">
        <v>0.0054</v>
      </c>
      <c r="P24" s="10" t="n">
        <v>1.207</v>
      </c>
      <c r="Q24" s="10" t="n">
        <v>0</v>
      </c>
      <c r="R24" s="11" t="n">
        <f aca="false">IF(P24="","",0.1*P24*M24)</f>
        <v>0.6500902</v>
      </c>
      <c r="S24" s="12" t="n">
        <f aca="false">IF(R24="","",J24/R24)</f>
        <v>23.7840841163272</v>
      </c>
      <c r="T24" s="11" t="n">
        <f aca="false">IF(E24="холостой","",IFERROR(1-AVERAGEIFS($L:$L,$B:$B,B24,$H:$H,H24,$E:$E,"холостой")/L24,""))</f>
        <v>0.103713779346363</v>
      </c>
      <c r="U24" s="13" t="n">
        <f aca="false">IF(R24="","",3.6*J24/(P24*N24*M24))</f>
        <v>76.2446151547445</v>
      </c>
      <c r="V24" s="11" t="n">
        <f aca="false">(M24/3.6)^2</f>
        <v>2.23834845679012</v>
      </c>
      <c r="W24" s="14" t="n">
        <f aca="false">eta_ep*eta_tr*(J24-P_aux)*1000*(1-T24)/(M24/3.6)</f>
        <v>7089.6162360032</v>
      </c>
      <c r="X24" s="14" t="n">
        <f aca="false">W24-f_roll*m_ET*g</f>
        <v>5221.7146598479</v>
      </c>
      <c r="Y24" s="12" t="n">
        <f aca="false">X24/(P24*N24)/1000</f>
        <v>38.5235330256488</v>
      </c>
      <c r="Z24" s="11" t="n">
        <f aca="false">X24/(m_ET*g)</f>
        <v>0.409449906676696</v>
      </c>
    </row>
    <row r="25" customFormat="false" ht="15" hidden="false" customHeight="false" outlineLevel="0" collapsed="false">
      <c r="A25" s="6" t="s">
        <v>268</v>
      </c>
      <c r="B25" s="6" t="s">
        <v>269</v>
      </c>
      <c r="C25" s="6" t="n">
        <v>20</v>
      </c>
      <c r="D25" s="6" t="n">
        <v>3</v>
      </c>
      <c r="E25" s="6" t="s">
        <v>272</v>
      </c>
      <c r="F25" s="6" t="n">
        <v>0.11</v>
      </c>
      <c r="G25" s="6" t="n">
        <v>3.6</v>
      </c>
      <c r="H25" s="6" t="s">
        <v>271</v>
      </c>
      <c r="I25" s="6" t="n">
        <v>101</v>
      </c>
      <c r="J25" s="10" t="n">
        <v>9.9372</v>
      </c>
      <c r="K25" s="10" t="n">
        <v>0.3073</v>
      </c>
      <c r="L25" s="10" t="n">
        <v>3659.533</v>
      </c>
      <c r="M25" s="10" t="n">
        <v>3.57</v>
      </c>
      <c r="N25" s="10" t="n">
        <v>0.1103</v>
      </c>
      <c r="O25" s="10" t="n">
        <v>0.0054</v>
      </c>
      <c r="P25" s="10" t="n">
        <v>1.203</v>
      </c>
      <c r="Q25" s="10" t="n">
        <v>0</v>
      </c>
      <c r="R25" s="11" t="n">
        <f aca="false">IF(P25="","",0.1*P25*M25)</f>
        <v>0.429471</v>
      </c>
      <c r="S25" s="12" t="n">
        <f aca="false">IF(R25="","",J25/R25)</f>
        <v>23.1382328492494</v>
      </c>
      <c r="T25" s="11" t="n">
        <f aca="false">IF(E25="холостой","",IFERROR(1-AVERAGEIFS($L:$L,$B:$B,B25,$H:$H,H25,$E:$E,"холостой")/L25,""))</f>
        <v>0.101191121927306</v>
      </c>
      <c r="U25" s="13" t="n">
        <f aca="false">IF(R25="","",3.6*J25/(P25*N25*M25))</f>
        <v>75.5191643311858</v>
      </c>
      <c r="V25" s="11" t="n">
        <f aca="false">(M25/3.6)^2</f>
        <v>0.983402777777778</v>
      </c>
      <c r="W25" s="14" t="n">
        <f aca="false">eta_ep*eta_tr*(J25-P_aux)*1000*(1-T25)/(M25/3.6)</f>
        <v>6848.44842724574</v>
      </c>
      <c r="X25" s="14" t="n">
        <f aca="false">W25-f_roll*m_ET*g</f>
        <v>4980.54685109045</v>
      </c>
      <c r="Y25" s="12" t="n">
        <f aca="false">X25/(P25*N25)/1000</f>
        <v>37.5349541761375</v>
      </c>
      <c r="Z25" s="11" t="n">
        <f aca="false">X25/(m_ET*g)</f>
        <v>0.390539233991253</v>
      </c>
    </row>
    <row r="26" customFormat="false" ht="15" hidden="false" customHeight="false" outlineLevel="0" collapsed="false">
      <c r="A26" s="6" t="s">
        <v>268</v>
      </c>
      <c r="B26" s="6" t="s">
        <v>269</v>
      </c>
      <c r="C26" s="6" t="n">
        <v>21</v>
      </c>
      <c r="D26" s="6" t="n">
        <v>3</v>
      </c>
      <c r="E26" s="6" t="s">
        <v>272</v>
      </c>
      <c r="F26" s="6" t="n">
        <v>0.11</v>
      </c>
      <c r="G26" s="6" t="n">
        <v>4.5</v>
      </c>
      <c r="H26" s="6" t="s">
        <v>271</v>
      </c>
      <c r="I26" s="6" t="n">
        <v>79</v>
      </c>
      <c r="J26" s="10" t="n">
        <v>12.0827</v>
      </c>
      <c r="K26" s="10" t="n">
        <v>0.5238</v>
      </c>
      <c r="L26" s="10" t="n">
        <v>3590.117</v>
      </c>
      <c r="M26" s="10" t="n">
        <v>4.536</v>
      </c>
      <c r="N26" s="10" t="n">
        <v>0.1078</v>
      </c>
      <c r="O26" s="10" t="n">
        <v>0.0064</v>
      </c>
      <c r="P26" s="10" t="n">
        <v>1.194</v>
      </c>
      <c r="Q26" s="10" t="n">
        <v>0</v>
      </c>
      <c r="R26" s="11" t="n">
        <f aca="false">IF(P26="","",0.1*P26*M26)</f>
        <v>0.5415984</v>
      </c>
      <c r="S26" s="12" t="n">
        <f aca="false">IF(R26="","",J26/R26)</f>
        <v>22.3093347395413</v>
      </c>
      <c r="T26" s="11" t="n">
        <f aca="false">IF(E26="холостой","",IFERROR(1-AVERAGEIFS($L:$L,$B:$B,B26,$H:$H,H26,$E:$E,"холостой")/L26,""))</f>
        <v>0.0838123799307934</v>
      </c>
      <c r="U26" s="13" t="n">
        <f aca="false">IF(R26="","",3.6*J26/(P26*N26*M26))</f>
        <v>74.5024165698968</v>
      </c>
      <c r="V26" s="11" t="n">
        <f aca="false">(M26/3.6)^2</f>
        <v>1.5876</v>
      </c>
      <c r="W26" s="14" t="n">
        <f aca="false">eta_ep*eta_tr*(J26-P_aux)*1000*(1-T26)/(M26/3.6)</f>
        <v>6702.31300385081</v>
      </c>
      <c r="X26" s="14" t="n">
        <f aca="false">W26-f_roll*m_ET*g</f>
        <v>4834.41142769551</v>
      </c>
      <c r="Y26" s="12" t="n">
        <f aca="false">X26/(P26*N26)/1000</f>
        <v>37.5595620938296</v>
      </c>
      <c r="Z26" s="11" t="n">
        <f aca="false">X26/(m_ET*g)</f>
        <v>0.379080328369443</v>
      </c>
    </row>
    <row r="27" customFormat="false" ht="15" hidden="false" customHeight="false" outlineLevel="0" collapsed="false">
      <c r="A27" s="6" t="s">
        <v>268</v>
      </c>
      <c r="B27" s="6" t="s">
        <v>269</v>
      </c>
      <c r="C27" s="6" t="n">
        <v>22</v>
      </c>
      <c r="D27" s="6" t="n">
        <v>3</v>
      </c>
      <c r="E27" s="6" t="s">
        <v>272</v>
      </c>
      <c r="F27" s="6" t="n">
        <v>0.08</v>
      </c>
      <c r="G27" s="6" t="n">
        <v>4.5</v>
      </c>
      <c r="H27" s="6" t="s">
        <v>271</v>
      </c>
      <c r="I27" s="6" t="n">
        <v>80</v>
      </c>
      <c r="J27" s="10" t="n">
        <v>9.4872</v>
      </c>
      <c r="K27" s="10" t="n">
        <v>0.2847</v>
      </c>
      <c r="L27" s="10" t="n">
        <v>3508.117</v>
      </c>
      <c r="M27" s="10" t="n">
        <v>4.531</v>
      </c>
      <c r="N27" s="10" t="n">
        <v>0.0803</v>
      </c>
      <c r="O27" s="10" t="n">
        <v>0.0049</v>
      </c>
      <c r="P27" s="10" t="n">
        <v>1.197</v>
      </c>
      <c r="Q27" s="10" t="n">
        <v>0</v>
      </c>
      <c r="R27" s="11" t="n">
        <f aca="false">IF(P27="","",0.1*P27*M27)</f>
        <v>0.5423607</v>
      </c>
      <c r="S27" s="12" t="n">
        <f aca="false">IF(R27="","",J27/R27)</f>
        <v>17.4924178687726</v>
      </c>
      <c r="T27" s="11" t="n">
        <f aca="false">IF(E27="холостой","",IFERROR(1-AVERAGEIFS($L:$L,$B:$B,B27,$H:$H,H27,$E:$E,"холостой")/L27,""))</f>
        <v>0.0623970779765898</v>
      </c>
      <c r="U27" s="13" t="n">
        <f aca="false">IF(R27="","",3.6*J27/(P27*N27*M27))</f>
        <v>78.4217986644848</v>
      </c>
      <c r="V27" s="11" t="n">
        <f aca="false">(M27/3.6)^2</f>
        <v>1.58410192901235</v>
      </c>
      <c r="W27" s="14" t="n">
        <f aca="false">eta_ep*eta_tr*(J27-P_aux)*1000*(1-T27)/(M27/3.6)</f>
        <v>5369.22719844202</v>
      </c>
      <c r="X27" s="14" t="n">
        <f aca="false">W27-f_roll*m_ET*g</f>
        <v>3501.32562228672</v>
      </c>
      <c r="Y27" s="12" t="n">
        <f aca="false">X27/(P27*N27)/1000</f>
        <v>36.4269497143307</v>
      </c>
      <c r="Z27" s="11" t="n">
        <f aca="false">X27/(m_ET*g)</f>
        <v>0.274549174491235</v>
      </c>
    </row>
    <row r="28" customFormat="false" ht="15" hidden="false" customHeight="false" outlineLevel="0" collapsed="false">
      <c r="A28" s="6" t="s">
        <v>268</v>
      </c>
      <c r="B28" s="6" t="s">
        <v>269</v>
      </c>
      <c r="C28" s="6" t="n">
        <v>23</v>
      </c>
      <c r="D28" s="6" t="n">
        <v>3</v>
      </c>
      <c r="E28" s="6" t="s">
        <v>272</v>
      </c>
      <c r="F28" s="6" t="n">
        <v>0.14</v>
      </c>
      <c r="G28" s="6" t="n">
        <v>3.6</v>
      </c>
      <c r="H28" s="6" t="s">
        <v>271</v>
      </c>
      <c r="I28" s="6" t="n">
        <v>100</v>
      </c>
      <c r="J28" s="10" t="n">
        <v>12.101</v>
      </c>
      <c r="K28" s="10" t="n">
        <v>0.3936</v>
      </c>
      <c r="L28" s="10" t="n">
        <v>3792.067</v>
      </c>
      <c r="M28" s="10" t="n">
        <v>3.608</v>
      </c>
      <c r="N28" s="10" t="n">
        <v>0.1389</v>
      </c>
      <c r="O28" s="10" t="n">
        <v>0.0054</v>
      </c>
      <c r="P28" s="10" t="n">
        <v>1.206</v>
      </c>
      <c r="Q28" s="10" t="n">
        <v>0</v>
      </c>
      <c r="R28" s="11" t="n">
        <f aca="false">IF(P28="","",0.1*P28*M28)</f>
        <v>0.4351248</v>
      </c>
      <c r="S28" s="12" t="n">
        <f aca="false">IF(R28="","",J28/R28)</f>
        <v>27.8104120932661</v>
      </c>
      <c r="T28" s="11" t="n">
        <f aca="false">IF(E28="холостой","",IFERROR(1-AVERAGEIFS($L:$L,$B:$B,B28,$H:$H,H28,$E:$E,"холостой")/L28,""))</f>
        <v>0.13260479047443</v>
      </c>
      <c r="U28" s="13" t="n">
        <f aca="false">IF(R28="","",3.6*J28/(P28*N28*M28))</f>
        <v>72.0788218399986</v>
      </c>
      <c r="V28" s="11" t="n">
        <f aca="false">(M28/3.6)^2</f>
        <v>1.00444938271605</v>
      </c>
      <c r="W28" s="14" t="n">
        <f aca="false">eta_ep*eta_tr*(J28-P_aux)*1000*(1-T28)/(M28/3.6)</f>
        <v>7989.71013449895</v>
      </c>
      <c r="X28" s="14" t="n">
        <f aca="false">W28-f_roll*m_ET*g</f>
        <v>6121.80855834365</v>
      </c>
      <c r="Y28" s="12" t="n">
        <f aca="false">X28/(P28*N28)/1000</f>
        <v>36.545187181107</v>
      </c>
      <c r="Z28" s="11" t="n">
        <f aca="false">X28/(m_ET*g)</f>
        <v>0.480028899736819</v>
      </c>
    </row>
    <row r="29" customFormat="false" ht="15" hidden="false" customHeight="false" outlineLevel="0" collapsed="false">
      <c r="A29" s="6" t="s">
        <v>268</v>
      </c>
      <c r="B29" s="6" t="s">
        <v>269</v>
      </c>
      <c r="C29" s="6" t="n">
        <v>24</v>
      </c>
      <c r="D29" s="6" t="n">
        <v>3</v>
      </c>
      <c r="E29" s="6" t="s">
        <v>272</v>
      </c>
      <c r="F29" s="6" t="n">
        <v>0.08</v>
      </c>
      <c r="G29" s="6" t="n">
        <v>5.4</v>
      </c>
      <c r="H29" s="6" t="s">
        <v>271</v>
      </c>
      <c r="I29" s="6" t="n">
        <v>66</v>
      </c>
      <c r="J29" s="10" t="n">
        <v>11.5041</v>
      </c>
      <c r="K29" s="10" t="n">
        <v>0.4169</v>
      </c>
      <c r="L29" s="10" t="n">
        <v>3481.983</v>
      </c>
      <c r="M29" s="10" t="n">
        <v>5.435</v>
      </c>
      <c r="N29" s="10" t="n">
        <v>0.0788</v>
      </c>
      <c r="O29" s="10" t="n">
        <v>0.0057</v>
      </c>
      <c r="P29" s="10" t="n">
        <v>1.206</v>
      </c>
      <c r="Q29" s="10" t="n">
        <v>0</v>
      </c>
      <c r="R29" s="11" t="n">
        <f aca="false">IF(P29="","",0.1*P29*M29)</f>
        <v>0.655461</v>
      </c>
      <c r="S29" s="12" t="n">
        <f aca="false">IF(R29="","",J29/R29)</f>
        <v>17.5511586501714</v>
      </c>
      <c r="T29" s="11" t="n">
        <f aca="false">IF(E29="холостой","",IFERROR(1-AVERAGEIFS($L:$L,$B:$B,B29,$H:$H,H29,$E:$E,"холостой")/L29,""))</f>
        <v>0.0553599055480742</v>
      </c>
      <c r="U29" s="13" t="n">
        <f aca="false">IF(R29="","",3.6*J29/(P29*N29*M29))</f>
        <v>80.1829583002755</v>
      </c>
      <c r="V29" s="11" t="n">
        <f aca="false">(M29/3.6)^2</f>
        <v>2.2792611882716</v>
      </c>
      <c r="W29" s="14" t="n">
        <f aca="false">eta_ep*eta_tr*(J29-P_aux)*1000*(1-T29)/(M29/3.6)</f>
        <v>5487.04304755963</v>
      </c>
      <c r="X29" s="14" t="n">
        <f aca="false">W29-f_roll*m_ET*g</f>
        <v>3619.14147140433</v>
      </c>
      <c r="Y29" s="12" t="n">
        <f aca="false">X29/(P29*N29)/1000</f>
        <v>38.0830773312407</v>
      </c>
      <c r="Z29" s="11" t="n">
        <f aca="false">X29/(m_ET*g)</f>
        <v>0.28378745953143</v>
      </c>
    </row>
    <row r="30" customFormat="false" ht="15" hidden="false" customHeight="false" outlineLevel="0" collapsed="false">
      <c r="A30" s="6" t="s">
        <v>273</v>
      </c>
      <c r="B30" s="6" t="s">
        <v>274</v>
      </c>
      <c r="C30" s="6" t="n">
        <v>0</v>
      </c>
      <c r="D30" s="6"/>
      <c r="E30" s="6" t="s">
        <v>270</v>
      </c>
      <c r="F30" s="6" t="n">
        <v>0</v>
      </c>
      <c r="G30" s="6" t="n">
        <v>2.7</v>
      </c>
      <c r="H30" s="6" t="s">
        <v>275</v>
      </c>
      <c r="I30" s="6" t="n">
        <v>133</v>
      </c>
      <c r="J30" s="10" t="n">
        <v>1.7092</v>
      </c>
      <c r="K30" s="10" t="n">
        <v>0.0564</v>
      </c>
      <c r="L30" s="10" t="n">
        <v>8444.817</v>
      </c>
      <c r="M30" s="10" t="n">
        <v>2.694</v>
      </c>
      <c r="N30" s="10"/>
      <c r="O30" s="10"/>
      <c r="P30" s="10"/>
      <c r="Q30" s="10" t="n">
        <v>0</v>
      </c>
      <c r="R30" s="11"/>
      <c r="S30" s="12"/>
      <c r="T30" s="11" t="str">
        <f aca="false">IF(E30="холостой","",IFERROR(1-AVERAGEIFS($L:$L,$B:$B,B30,$H:$H,H30,$E:$E,"холостой")/L30,""))</f>
        <v/>
      </c>
      <c r="U30" s="13"/>
      <c r="V30" s="11" t="n">
        <f aca="false">(M30/3.6)^2</f>
        <v>0.560002777777778</v>
      </c>
      <c r="AB30" s="11" t="n">
        <f aca="false">(J30-P_aux)/(M30/3.6)</f>
        <v>2.04347438752784</v>
      </c>
    </row>
    <row r="31" customFormat="false" ht="15" hidden="false" customHeight="false" outlineLevel="0" collapsed="false">
      <c r="A31" s="6" t="s">
        <v>273</v>
      </c>
      <c r="B31" s="6" t="s">
        <v>274</v>
      </c>
      <c r="C31" s="6" t="n">
        <v>0</v>
      </c>
      <c r="D31" s="6"/>
      <c r="E31" s="6" t="s">
        <v>270</v>
      </c>
      <c r="F31" s="6" t="n">
        <v>0</v>
      </c>
      <c r="G31" s="6" t="n">
        <v>2.7</v>
      </c>
      <c r="H31" s="6" t="s">
        <v>275</v>
      </c>
      <c r="I31" s="6" t="n">
        <v>133</v>
      </c>
      <c r="J31" s="10" t="n">
        <v>1.7095</v>
      </c>
      <c r="K31" s="10" t="n">
        <v>0.0576</v>
      </c>
      <c r="L31" s="10" t="n">
        <v>8445.033</v>
      </c>
      <c r="M31" s="10" t="n">
        <v>2.7</v>
      </c>
      <c r="N31" s="10"/>
      <c r="O31" s="10"/>
      <c r="P31" s="10"/>
      <c r="Q31" s="10" t="n">
        <v>0</v>
      </c>
      <c r="R31" s="11"/>
      <c r="S31" s="12"/>
      <c r="T31" s="11" t="str">
        <f aca="false">IF(E31="холостой","",IFERROR(1-AVERAGEIFS($L:$L,$B:$B,B31,$H:$H,H31,$E:$E,"холостой")/L31,""))</f>
        <v/>
      </c>
      <c r="U31" s="13"/>
      <c r="V31" s="11" t="n">
        <f aca="false">(M31/3.6)^2</f>
        <v>0.5625</v>
      </c>
      <c r="AB31" s="11" t="n">
        <f aca="false">(J31-P_aux)/(M31/3.6)</f>
        <v>2.03933333333333</v>
      </c>
    </row>
    <row r="32" customFormat="false" ht="15" hidden="false" customHeight="false" outlineLevel="0" collapsed="false">
      <c r="A32" s="6" t="s">
        <v>273</v>
      </c>
      <c r="B32" s="6" t="s">
        <v>274</v>
      </c>
      <c r="C32" s="6" t="n">
        <v>0</v>
      </c>
      <c r="D32" s="6"/>
      <c r="E32" s="6" t="s">
        <v>270</v>
      </c>
      <c r="F32" s="6" t="n">
        <v>0</v>
      </c>
      <c r="G32" s="6" t="n">
        <v>2.7</v>
      </c>
      <c r="H32" s="6" t="s">
        <v>275</v>
      </c>
      <c r="I32" s="6" t="n">
        <v>133</v>
      </c>
      <c r="J32" s="10" t="n">
        <v>1.7086</v>
      </c>
      <c r="K32" s="10" t="n">
        <v>0.0581</v>
      </c>
      <c r="L32" s="10" t="n">
        <v>8445.283</v>
      </c>
      <c r="M32" s="10" t="n">
        <v>2.709</v>
      </c>
      <c r="N32" s="10"/>
      <c r="O32" s="10"/>
      <c r="P32" s="10"/>
      <c r="Q32" s="10" t="n">
        <v>0</v>
      </c>
      <c r="R32" s="11"/>
      <c r="S32" s="12"/>
      <c r="T32" s="11" t="str">
        <f aca="false">IF(E32="холостой","",IFERROR(1-AVERAGEIFS($L:$L,$B:$B,B32,$H:$H,H32,$E:$E,"холостой")/L32,""))</f>
        <v/>
      </c>
      <c r="U32" s="13"/>
      <c r="V32" s="11" t="n">
        <f aca="false">(M32/3.6)^2</f>
        <v>0.56625625</v>
      </c>
      <c r="AB32" s="11" t="n">
        <f aca="false">(J32-P_aux)/(M32/3.6)</f>
        <v>2.03136212624585</v>
      </c>
    </row>
    <row r="33" customFormat="false" ht="15" hidden="false" customHeight="false" outlineLevel="0" collapsed="false">
      <c r="A33" s="6" t="s">
        <v>273</v>
      </c>
      <c r="B33" s="6" t="s">
        <v>274</v>
      </c>
      <c r="C33" s="6" t="n">
        <v>0</v>
      </c>
      <c r="D33" s="6"/>
      <c r="E33" s="6" t="s">
        <v>270</v>
      </c>
      <c r="F33" s="6" t="n">
        <v>0</v>
      </c>
      <c r="G33" s="6" t="n">
        <v>2.7</v>
      </c>
      <c r="H33" s="6" t="s">
        <v>275</v>
      </c>
      <c r="I33" s="6" t="n">
        <v>133</v>
      </c>
      <c r="J33" s="10" t="n">
        <v>1.7092</v>
      </c>
      <c r="K33" s="10" t="n">
        <v>0.057</v>
      </c>
      <c r="L33" s="10" t="n">
        <v>8445.683</v>
      </c>
      <c r="M33" s="10" t="n">
        <v>2.701</v>
      </c>
      <c r="N33" s="10"/>
      <c r="O33" s="10"/>
      <c r="P33" s="10"/>
      <c r="Q33" s="10" t="n">
        <v>0</v>
      </c>
      <c r="R33" s="11"/>
      <c r="S33" s="12"/>
      <c r="T33" s="11" t="str">
        <f aca="false">IF(E33="холостой","",IFERROR(1-AVERAGEIFS($L:$L,$B:$B,B33,$H:$H,H33,$E:$E,"холостой")/L33,""))</f>
        <v/>
      </c>
      <c r="U33" s="13"/>
      <c r="V33" s="11" t="n">
        <f aca="false">(M33/3.6)^2</f>
        <v>0.562916743827161</v>
      </c>
      <c r="AB33" s="11" t="n">
        <f aca="false">(J33-P_aux)/(M33/3.6)</f>
        <v>2.03817845242503</v>
      </c>
    </row>
    <row r="34" customFormat="false" ht="15" hidden="false" customHeight="false" outlineLevel="0" collapsed="false">
      <c r="A34" s="6" t="s">
        <v>273</v>
      </c>
      <c r="B34" s="6" t="s">
        <v>276</v>
      </c>
      <c r="C34" s="6" t="n">
        <v>0</v>
      </c>
      <c r="D34" s="6"/>
      <c r="E34" s="6" t="s">
        <v>270</v>
      </c>
      <c r="F34" s="6" t="n">
        <v>0</v>
      </c>
      <c r="G34" s="6" t="n">
        <v>2.7</v>
      </c>
      <c r="H34" s="6" t="s">
        <v>275</v>
      </c>
      <c r="I34" s="6" t="n">
        <v>133</v>
      </c>
      <c r="J34" s="10" t="n">
        <v>1.7389</v>
      </c>
      <c r="K34" s="10" t="n">
        <v>0.038</v>
      </c>
      <c r="L34" s="10" t="n">
        <v>8445.233</v>
      </c>
      <c r="M34" s="10" t="n">
        <v>2.693</v>
      </c>
      <c r="N34" s="10"/>
      <c r="O34" s="10"/>
      <c r="P34" s="10"/>
      <c r="Q34" s="10" t="n">
        <v>0</v>
      </c>
      <c r="R34" s="11"/>
      <c r="S34" s="12"/>
      <c r="T34" s="11" t="str">
        <f aca="false">IF(E34="холостой","",IFERROR(1-AVERAGEIFS($L:$L,$B:$B,B34,$H:$H,H34,$E:$E,"холостой")/L34,""))</f>
        <v/>
      </c>
      <c r="U34" s="13"/>
      <c r="V34" s="11" t="n">
        <f aca="false">(M34/3.6)^2</f>
        <v>0.559587114197531</v>
      </c>
      <c r="AB34" s="11" t="n">
        <f aca="false">(J34-P_aux)/(M34/3.6)</f>
        <v>2.08393613070925</v>
      </c>
    </row>
    <row r="35" customFormat="false" ht="15" hidden="false" customHeight="false" outlineLevel="0" collapsed="false">
      <c r="A35" s="6" t="s">
        <v>273</v>
      </c>
      <c r="B35" s="6" t="s">
        <v>276</v>
      </c>
      <c r="C35" s="6" t="n">
        <v>0</v>
      </c>
      <c r="D35" s="6"/>
      <c r="E35" s="6" t="s">
        <v>270</v>
      </c>
      <c r="F35" s="6" t="n">
        <v>0</v>
      </c>
      <c r="G35" s="6" t="n">
        <v>2.7</v>
      </c>
      <c r="H35" s="6" t="s">
        <v>275</v>
      </c>
      <c r="I35" s="6" t="n">
        <v>133</v>
      </c>
      <c r="J35" s="10" t="n">
        <v>1.7414</v>
      </c>
      <c r="K35" s="10" t="n">
        <v>0.039</v>
      </c>
      <c r="L35" s="10" t="n">
        <v>8443.667</v>
      </c>
      <c r="M35" s="10" t="n">
        <v>2.711</v>
      </c>
      <c r="N35" s="10"/>
      <c r="O35" s="10"/>
      <c r="P35" s="10"/>
      <c r="Q35" s="10" t="n">
        <v>0</v>
      </c>
      <c r="R35" s="11"/>
      <c r="S35" s="12"/>
      <c r="T35" s="11" t="str">
        <f aca="false">IF(E35="холостой","",IFERROR(1-AVERAGEIFS($L:$L,$B:$B,B35,$H:$H,H35,$E:$E,"холостой")/L35,""))</f>
        <v/>
      </c>
      <c r="U35" s="13"/>
      <c r="V35" s="11" t="n">
        <f aca="false">(M35/3.6)^2</f>
        <v>0.567092669753086</v>
      </c>
      <c r="AB35" s="11" t="n">
        <f aca="false">(J35-P_aux)/(M35/3.6)</f>
        <v>2.07341940243453</v>
      </c>
    </row>
    <row r="36" customFormat="false" ht="15" hidden="false" customHeight="false" outlineLevel="0" collapsed="false">
      <c r="A36" s="6" t="s">
        <v>273</v>
      </c>
      <c r="B36" s="6" t="s">
        <v>276</v>
      </c>
      <c r="C36" s="6" t="n">
        <v>0</v>
      </c>
      <c r="D36" s="6"/>
      <c r="E36" s="6" t="s">
        <v>270</v>
      </c>
      <c r="F36" s="6" t="n">
        <v>0</v>
      </c>
      <c r="G36" s="6" t="n">
        <v>2.7</v>
      </c>
      <c r="H36" s="6" t="s">
        <v>275</v>
      </c>
      <c r="I36" s="6" t="n">
        <v>133</v>
      </c>
      <c r="J36" s="10" t="n">
        <v>1.7388</v>
      </c>
      <c r="K36" s="10" t="n">
        <v>0.039</v>
      </c>
      <c r="L36" s="10" t="n">
        <v>8444.867</v>
      </c>
      <c r="M36" s="10" t="n">
        <v>2.695</v>
      </c>
      <c r="N36" s="10"/>
      <c r="O36" s="10"/>
      <c r="P36" s="10"/>
      <c r="Q36" s="10" t="n">
        <v>0</v>
      </c>
      <c r="R36" s="11"/>
      <c r="S36" s="12"/>
      <c r="T36" s="11" t="str">
        <f aca="false">IF(E36="холостой","",IFERROR(1-AVERAGEIFS($L:$L,$B:$B,B36,$H:$H,H36,$E:$E,"холостой")/L36,""))</f>
        <v/>
      </c>
      <c r="U36" s="13"/>
      <c r="V36" s="11" t="n">
        <f aca="false">(M36/3.6)^2</f>
        <v>0.560418595679012</v>
      </c>
      <c r="AB36" s="11" t="n">
        <f aca="false">(J36-P_aux)/(M36/3.6)</f>
        <v>2.0822560296846</v>
      </c>
    </row>
    <row r="37" customFormat="false" ht="15" hidden="false" customHeight="false" outlineLevel="0" collapsed="false">
      <c r="A37" s="6" t="s">
        <v>273</v>
      </c>
      <c r="B37" s="6" t="s">
        <v>276</v>
      </c>
      <c r="C37" s="6" t="n">
        <v>0</v>
      </c>
      <c r="D37" s="6"/>
      <c r="E37" s="6" t="s">
        <v>270</v>
      </c>
      <c r="F37" s="6" t="n">
        <v>0</v>
      </c>
      <c r="G37" s="6" t="n">
        <v>2.7</v>
      </c>
      <c r="H37" s="6" t="s">
        <v>275</v>
      </c>
      <c r="I37" s="6" t="n">
        <v>133</v>
      </c>
      <c r="J37" s="10" t="n">
        <v>1.738</v>
      </c>
      <c r="K37" s="10" t="n">
        <v>0.039</v>
      </c>
      <c r="L37" s="10" t="n">
        <v>8444.533</v>
      </c>
      <c r="M37" s="10" t="n">
        <v>2.699</v>
      </c>
      <c r="N37" s="10"/>
      <c r="O37" s="10"/>
      <c r="P37" s="10"/>
      <c r="Q37" s="10" t="n">
        <v>0</v>
      </c>
      <c r="R37" s="11"/>
      <c r="S37" s="12"/>
      <c r="T37" s="11" t="str">
        <f aca="false">IF(E37="холостой","",IFERROR(1-AVERAGEIFS($L:$L,$B:$B,B37,$H:$H,H37,$E:$E,"холостой")/L37,""))</f>
        <v/>
      </c>
      <c r="U37" s="13"/>
      <c r="V37" s="11" t="n">
        <f aca="false">(M37/3.6)^2</f>
        <v>0.562083410493827</v>
      </c>
      <c r="AB37" s="11" t="n">
        <f aca="false">(J37-P_aux)/(M37/3.6)</f>
        <v>2.07810300111152</v>
      </c>
    </row>
    <row r="38" customFormat="false" ht="15" hidden="false" customHeight="false" outlineLevel="0" collapsed="false">
      <c r="A38" s="6" t="s">
        <v>273</v>
      </c>
      <c r="B38" s="6" t="s">
        <v>274</v>
      </c>
      <c r="C38" s="6" t="n">
        <v>1</v>
      </c>
      <c r="D38" s="6" t="n">
        <v>1</v>
      </c>
      <c r="E38" s="6" t="s">
        <v>272</v>
      </c>
      <c r="F38" s="6" t="n">
        <v>0.12</v>
      </c>
      <c r="G38" s="6" t="n">
        <v>2.7</v>
      </c>
      <c r="H38" s="6" t="s">
        <v>275</v>
      </c>
      <c r="I38" s="6" t="n">
        <v>134</v>
      </c>
      <c r="J38" s="10" t="n">
        <v>12.9278</v>
      </c>
      <c r="K38" s="10" t="n">
        <v>0.2612</v>
      </c>
      <c r="L38" s="10" t="n">
        <v>8480.05</v>
      </c>
      <c r="M38" s="10" t="n">
        <v>2.697</v>
      </c>
      <c r="N38" s="10" t="n">
        <v>0.1197</v>
      </c>
      <c r="O38" s="10" t="n">
        <v>0.005</v>
      </c>
      <c r="P38" s="10" t="n">
        <v>1.232</v>
      </c>
      <c r="Q38" s="10" t="n">
        <v>540</v>
      </c>
      <c r="R38" s="11" t="n">
        <f aca="false">IF(P38="","",0.1*P38*M38)</f>
        <v>0.3322704</v>
      </c>
      <c r="S38" s="12" t="n">
        <f aca="false">IF(R38="","",J38/R38)</f>
        <v>38.9074681343869</v>
      </c>
      <c r="T38" s="11" t="n">
        <f aca="false">IF(E38="холостой","",IFERROR(1-AVERAGEIFS($L:$L,$B:$B,B38,$H:$H,H38,$E:$E,"холостой")/L38,""))</f>
        <v>0.00410917388458787</v>
      </c>
      <c r="U38" s="13" t="n">
        <f aca="false">IF(R38="","",3.6*J38/(P38*N38*M38))</f>
        <v>117.014941757555</v>
      </c>
      <c r="V38" s="11" t="n">
        <f aca="false">(M38/3.6)^2</f>
        <v>0.561250694444444</v>
      </c>
      <c r="AA38" s="13" t="n">
        <f aca="false">(J38-P_aux-c_move*M38/3.6-P_rot0)/(P38*N38*M38/3.6)</f>
        <v>92.5439514132994</v>
      </c>
    </row>
    <row r="39" customFormat="false" ht="15" hidden="false" customHeight="false" outlineLevel="0" collapsed="false">
      <c r="A39" s="6" t="s">
        <v>273</v>
      </c>
      <c r="B39" s="6" t="s">
        <v>274</v>
      </c>
      <c r="C39" s="6" t="n">
        <v>2</v>
      </c>
      <c r="D39" s="6" t="n">
        <v>1</v>
      </c>
      <c r="E39" s="6" t="s">
        <v>272</v>
      </c>
      <c r="F39" s="6" t="n">
        <v>0.08</v>
      </c>
      <c r="G39" s="6" t="n">
        <v>2.7</v>
      </c>
      <c r="H39" s="6" t="s">
        <v>275</v>
      </c>
      <c r="I39" s="6" t="n">
        <v>134</v>
      </c>
      <c r="J39" s="10" t="n">
        <v>10.0222</v>
      </c>
      <c r="K39" s="10" t="n">
        <v>0.2657</v>
      </c>
      <c r="L39" s="10" t="n">
        <v>8479.65</v>
      </c>
      <c r="M39" s="10" t="n">
        <v>2.689</v>
      </c>
      <c r="N39" s="10" t="n">
        <v>0.0833</v>
      </c>
      <c r="O39" s="10" t="n">
        <v>0.0041</v>
      </c>
      <c r="P39" s="10" t="n">
        <v>1.255</v>
      </c>
      <c r="Q39" s="10" t="n">
        <v>539.97</v>
      </c>
      <c r="R39" s="11" t="n">
        <f aca="false">IF(P39="","",0.1*P39*M39)</f>
        <v>0.3374695</v>
      </c>
      <c r="S39" s="12" t="n">
        <f aca="false">IF(R39="","",J39/R39)</f>
        <v>29.6980912349116</v>
      </c>
      <c r="T39" s="11" t="n">
        <f aca="false">IF(E39="холостой","",IFERROR(1-AVERAGEIFS($L:$L,$B:$B,B39,$H:$H,H39,$E:$E,"холостой")/L39,""))</f>
        <v>0.00406219596327673</v>
      </c>
      <c r="U39" s="13" t="n">
        <f aca="false">IF(R39="","",3.6*J39/(P39*N39*M39))</f>
        <v>128.347092972007</v>
      </c>
      <c r="V39" s="11" t="n">
        <f aca="false">(M39/3.6)^2</f>
        <v>0.55792600308642</v>
      </c>
      <c r="AA39" s="13" t="n">
        <f aca="false">(J39-P_aux-c_move*M39/3.6-P_rot0)/(P39*N39*M39/3.6)</f>
        <v>93.7832299983049</v>
      </c>
    </row>
    <row r="40" customFormat="false" ht="15" hidden="false" customHeight="false" outlineLevel="0" collapsed="false">
      <c r="A40" s="6" t="s">
        <v>273</v>
      </c>
      <c r="B40" s="6" t="s">
        <v>274</v>
      </c>
      <c r="C40" s="6" t="n">
        <v>3</v>
      </c>
      <c r="D40" s="6" t="n">
        <v>1</v>
      </c>
      <c r="E40" s="6" t="s">
        <v>272</v>
      </c>
      <c r="F40" s="6" t="n">
        <v>0.16</v>
      </c>
      <c r="G40" s="6" t="n">
        <v>1.8</v>
      </c>
      <c r="H40" s="6" t="s">
        <v>277</v>
      </c>
      <c r="I40" s="6" t="n">
        <v>200</v>
      </c>
      <c r="J40" s="10" t="n">
        <v>12.6134</v>
      </c>
      <c r="K40" s="10" t="n">
        <v>0.2903</v>
      </c>
      <c r="L40" s="10" t="n">
        <v>12655.533</v>
      </c>
      <c r="M40" s="10" t="n">
        <v>1.797</v>
      </c>
      <c r="N40" s="10" t="n">
        <v>0.1603</v>
      </c>
      <c r="O40" s="10" t="n">
        <v>0.0047</v>
      </c>
      <c r="P40" s="10" t="n">
        <v>1.245</v>
      </c>
      <c r="Q40" s="10" t="n">
        <v>539.93</v>
      </c>
      <c r="R40" s="11" t="n">
        <f aca="false">IF(P40="","",0.1*P40*M40)</f>
        <v>0.2237265</v>
      </c>
      <c r="S40" s="12" t="n">
        <f aca="false">IF(R40="","",J40/R40)</f>
        <v>56.3786587641607</v>
      </c>
      <c r="T40" s="11" t="str">
        <f aca="false">IF(E40="холостой","",IFERROR(1-AVERAGEIFS($L:$L,$B:$B,B40,$H:$H,H40,$E:$E,"холостой")/L40,""))</f>
        <v/>
      </c>
      <c r="U40" s="13" t="n">
        <f aca="false">IF(R40="","",3.6*J40/(P40*N40*M40))</f>
        <v>126.614579882083</v>
      </c>
      <c r="V40" s="11" t="n">
        <f aca="false">(M40/3.6)^2</f>
        <v>0.249167361111111</v>
      </c>
      <c r="AA40" s="13" t="n">
        <f aca="false">(J40-P_aux-c_move*M40/3.6-P_rot0)/(P40*N40*M40/3.6)</f>
        <v>104.642549595088</v>
      </c>
    </row>
    <row r="41" customFormat="false" ht="15" hidden="false" customHeight="false" outlineLevel="0" collapsed="false">
      <c r="A41" s="6" t="s">
        <v>273</v>
      </c>
      <c r="B41" s="6" t="s">
        <v>274</v>
      </c>
      <c r="C41" s="6" t="n">
        <v>4</v>
      </c>
      <c r="D41" s="6" t="n">
        <v>1</v>
      </c>
      <c r="E41" s="6" t="s">
        <v>272</v>
      </c>
      <c r="F41" s="6" t="n">
        <v>0.08</v>
      </c>
      <c r="G41" s="6" t="n">
        <v>3.6</v>
      </c>
      <c r="H41" s="6" t="s">
        <v>278</v>
      </c>
      <c r="I41" s="6" t="n">
        <v>100</v>
      </c>
      <c r="J41" s="10" t="n">
        <v>11.8202</v>
      </c>
      <c r="K41" s="10" t="n">
        <v>0.2779</v>
      </c>
      <c r="L41" s="10" t="n">
        <v>6327.833</v>
      </c>
      <c r="M41" s="10" t="n">
        <v>3.577</v>
      </c>
      <c r="N41" s="10" t="n">
        <v>0.0821</v>
      </c>
      <c r="O41" s="10" t="n">
        <v>0.0047</v>
      </c>
      <c r="P41" s="10" t="n">
        <v>1.253</v>
      </c>
      <c r="Q41" s="10" t="n">
        <v>539.99</v>
      </c>
      <c r="R41" s="11" t="n">
        <f aca="false">IF(P41="","",0.1*P41*M41)</f>
        <v>0.4481981</v>
      </c>
      <c r="S41" s="12" t="n">
        <f aca="false">IF(R41="","",J41/R41)</f>
        <v>26.3727133158307</v>
      </c>
      <c r="T41" s="11" t="str">
        <f aca="false">IF(E41="холостой","",IFERROR(1-AVERAGEIFS($L:$L,$B:$B,B41,$H:$H,H41,$E:$E,"холостой")/L41,""))</f>
        <v/>
      </c>
      <c r="U41" s="13" t="n">
        <f aca="false">IF(R41="","",3.6*J41/(P41*N41*M41))</f>
        <v>115.641617462838</v>
      </c>
      <c r="V41" s="11" t="n">
        <f aca="false">(M41/3.6)^2</f>
        <v>0.987263040123457</v>
      </c>
      <c r="AA41" s="13" t="n">
        <f aca="false">(J41-P_aux-c_move*M41/3.6-P_rot0)/(P41*N41*M41/3.6)</f>
        <v>84.2681990436609</v>
      </c>
    </row>
    <row r="42" customFormat="false" ht="15" hidden="false" customHeight="false" outlineLevel="0" collapsed="false">
      <c r="A42" s="6" t="s">
        <v>273</v>
      </c>
      <c r="B42" s="6" t="s">
        <v>274</v>
      </c>
      <c r="C42" s="6" t="n">
        <v>5</v>
      </c>
      <c r="D42" s="6" t="n">
        <v>1</v>
      </c>
      <c r="E42" s="6" t="s">
        <v>272</v>
      </c>
      <c r="F42" s="6" t="n">
        <v>0.12</v>
      </c>
      <c r="G42" s="6" t="n">
        <v>1.8</v>
      </c>
      <c r="H42" s="6" t="s">
        <v>277</v>
      </c>
      <c r="I42" s="6" t="n">
        <v>201</v>
      </c>
      <c r="J42" s="10" t="n">
        <v>9.9765</v>
      </c>
      <c r="K42" s="10" t="n">
        <v>0.2525</v>
      </c>
      <c r="L42" s="10" t="n">
        <v>12720.317</v>
      </c>
      <c r="M42" s="10" t="n">
        <v>1.791</v>
      </c>
      <c r="N42" s="10" t="n">
        <v>0.119</v>
      </c>
      <c r="O42" s="10" t="n">
        <v>0.0036</v>
      </c>
      <c r="P42" s="10" t="n">
        <v>1.247</v>
      </c>
      <c r="Q42" s="10" t="n">
        <v>539.97</v>
      </c>
      <c r="R42" s="11" t="n">
        <f aca="false">IF(P42="","",0.1*P42*M42)</f>
        <v>0.2233377</v>
      </c>
      <c r="S42" s="12" t="n">
        <f aca="false">IF(R42="","",J42/R42)</f>
        <v>44.670022123448</v>
      </c>
      <c r="T42" s="11" t="str">
        <f aca="false">IF(E42="холостой","",IFERROR(1-AVERAGEIFS($L:$L,$B:$B,B42,$H:$H,H42,$E:$E,"холостой")/L42,""))</f>
        <v/>
      </c>
      <c r="U42" s="13" t="n">
        <f aca="false">IF(R42="","",3.6*J42/(P42*N42*M42))</f>
        <v>135.13620138186</v>
      </c>
      <c r="V42" s="11" t="n">
        <f aca="false">(M42/3.6)^2</f>
        <v>0.24750625</v>
      </c>
      <c r="AA42" s="13" t="n">
        <f aca="false">(J42-P_aux-c_move*M42/3.6-P_rot0)/(P42*N42*M42/3.6)</f>
        <v>105.53353677037</v>
      </c>
    </row>
    <row r="43" customFormat="false" ht="15" hidden="false" customHeight="false" outlineLevel="0" collapsed="false">
      <c r="A43" s="6" t="s">
        <v>273</v>
      </c>
      <c r="B43" s="6" t="s">
        <v>274</v>
      </c>
      <c r="C43" s="6" t="n">
        <v>6</v>
      </c>
      <c r="D43" s="6" t="n">
        <v>1</v>
      </c>
      <c r="E43" s="6" t="s">
        <v>272</v>
      </c>
      <c r="F43" s="6" t="n">
        <v>0.08</v>
      </c>
      <c r="G43" s="6" t="n">
        <v>1.8</v>
      </c>
      <c r="H43" s="6" t="s">
        <v>277</v>
      </c>
      <c r="I43" s="6" t="n">
        <v>201</v>
      </c>
      <c r="J43" s="10" t="n">
        <v>7.1492</v>
      </c>
      <c r="K43" s="10" t="n">
        <v>0.1728</v>
      </c>
      <c r="L43" s="10" t="n">
        <v>12719.533</v>
      </c>
      <c r="M43" s="10" t="n">
        <v>1.788</v>
      </c>
      <c r="N43" s="10" t="n">
        <v>0.0768</v>
      </c>
      <c r="O43" s="10" t="n">
        <v>0.0035</v>
      </c>
      <c r="P43" s="10" t="n">
        <v>1.266</v>
      </c>
      <c r="Q43" s="10" t="n">
        <v>539.98</v>
      </c>
      <c r="R43" s="11" t="n">
        <f aca="false">IF(P43="","",0.1*P43*M43)</f>
        <v>0.2263608</v>
      </c>
      <c r="S43" s="12" t="n">
        <f aca="false">IF(R43="","",J43/R43)</f>
        <v>31.5832069863687</v>
      </c>
      <c r="T43" s="11" t="str">
        <f aca="false">IF(E43="холостой","",IFERROR(1-AVERAGEIFS($L:$L,$B:$B,B43,$H:$H,H43,$E:$E,"холостой")/L43,""))</f>
        <v/>
      </c>
      <c r="U43" s="13" t="n">
        <f aca="false">IF(R43="","",3.6*J43/(P43*N43*M43))</f>
        <v>148.046282748603</v>
      </c>
      <c r="V43" s="11" t="n">
        <f aca="false">(M43/3.6)^2</f>
        <v>0.246677777777778</v>
      </c>
      <c r="AA43" s="13" t="n">
        <f aca="false">(J43-P_aux-c_move*M43/3.6-P_rot0)/(P43*N43*M43/3.6)</f>
        <v>102.825685198132</v>
      </c>
    </row>
    <row r="44" customFormat="false" ht="15" hidden="false" customHeight="false" outlineLevel="0" collapsed="false">
      <c r="A44" s="6" t="s">
        <v>273</v>
      </c>
      <c r="B44" s="6" t="s">
        <v>274</v>
      </c>
      <c r="C44" s="6" t="n">
        <v>7</v>
      </c>
      <c r="D44" s="6" t="n">
        <v>1</v>
      </c>
      <c r="E44" s="6" t="s">
        <v>272</v>
      </c>
      <c r="F44" s="6" t="n">
        <v>0.12</v>
      </c>
      <c r="G44" s="6" t="n">
        <v>3.6</v>
      </c>
      <c r="H44" s="6" t="s">
        <v>278</v>
      </c>
      <c r="I44" s="6" t="n">
        <v>100</v>
      </c>
      <c r="J44" s="10" t="n">
        <v>16.6278</v>
      </c>
      <c r="K44" s="10" t="n">
        <v>0.6554</v>
      </c>
      <c r="L44" s="10" t="n">
        <v>6270.867</v>
      </c>
      <c r="M44" s="10" t="n">
        <v>3.578</v>
      </c>
      <c r="N44" s="10" t="n">
        <v>0.122</v>
      </c>
      <c r="O44" s="10" t="n">
        <v>0.0045</v>
      </c>
      <c r="P44" s="10" t="n">
        <v>1.251</v>
      </c>
      <c r="Q44" s="10" t="n">
        <v>535.1</v>
      </c>
      <c r="R44" s="11" t="n">
        <f aca="false">IF(P44="","",0.1*P44*M44)</f>
        <v>0.4476078</v>
      </c>
      <c r="S44" s="12" t="n">
        <f aca="false">IF(R44="","",J44/R44)</f>
        <v>37.1481462119293</v>
      </c>
      <c r="T44" s="11" t="str">
        <f aca="false">IF(E44="холостой","",IFERROR(1-AVERAGEIFS($L:$L,$B:$B,B44,$H:$H,H44,$E:$E,"холостой")/L44,""))</f>
        <v/>
      </c>
      <c r="U44" s="13" t="n">
        <f aca="false">IF(R44="","",3.6*J44/(P44*N44*M44))</f>
        <v>109.617480625365</v>
      </c>
      <c r="V44" s="11" t="n">
        <f aca="false">(M44/3.6)^2</f>
        <v>0.98781512345679</v>
      </c>
      <c r="AA44" s="13" t="n">
        <f aca="false">(J44-P_aux-c_move*M44/3.6-P_rot0)/(P44*N44*M44/3.6)</f>
        <v>88.4730996540674</v>
      </c>
    </row>
    <row r="45" customFormat="false" ht="15" hidden="false" customHeight="false" outlineLevel="0" collapsed="false">
      <c r="A45" s="6" t="s">
        <v>273</v>
      </c>
      <c r="B45" s="6" t="s">
        <v>274</v>
      </c>
      <c r="C45" s="6" t="n">
        <v>8</v>
      </c>
      <c r="D45" s="6" t="n">
        <v>1</v>
      </c>
      <c r="E45" s="6" t="s">
        <v>272</v>
      </c>
      <c r="F45" s="6" t="n">
        <v>0.16</v>
      </c>
      <c r="G45" s="6" t="n">
        <v>2.7</v>
      </c>
      <c r="H45" s="6" t="s">
        <v>275</v>
      </c>
      <c r="I45" s="6" t="n">
        <v>134</v>
      </c>
      <c r="J45" s="10" t="n">
        <v>16.2409</v>
      </c>
      <c r="K45" s="10" t="n">
        <v>0.5248</v>
      </c>
      <c r="L45" s="10" t="n">
        <v>8421.917</v>
      </c>
      <c r="M45" s="10" t="n">
        <v>2.681</v>
      </c>
      <c r="N45" s="10" t="n">
        <v>0.1581</v>
      </c>
      <c r="O45" s="10" t="n">
        <v>0.0022</v>
      </c>
      <c r="P45" s="10" t="n">
        <v>1.24</v>
      </c>
      <c r="Q45" s="10" t="n">
        <v>536.27</v>
      </c>
      <c r="R45" s="11" t="n">
        <f aca="false">IF(P45="","",0.1*P45*M45)</f>
        <v>0.332444</v>
      </c>
      <c r="S45" s="12" t="n">
        <f aca="false">IF(R45="","",J45/R45)</f>
        <v>48.8530399104812</v>
      </c>
      <c r="T45" s="11" t="n">
        <f aca="false">IF(E45="холостой","",IFERROR(1-AVERAGEIFS($L:$L,$B:$B,B45,$H:$H,H45,$E:$E,"холостой")/L45,""))</f>
        <v>-0.00276504743516237</v>
      </c>
      <c r="U45" s="13" t="n">
        <f aca="false">IF(R45="","",3.6*J45/(P45*N45*M45))</f>
        <v>111.240318581741</v>
      </c>
      <c r="V45" s="11" t="n">
        <f aca="false">(M45/3.6)^2</f>
        <v>0.554611188271605</v>
      </c>
      <c r="AA45" s="13" t="n">
        <f aca="false">(J45-P_aux-c_move*M45/3.6-P_rot0)/(P45*N45*M45/3.6)</f>
        <v>92.7852934454152</v>
      </c>
    </row>
    <row r="46" customFormat="false" ht="15" hidden="false" customHeight="false" outlineLevel="0" collapsed="false">
      <c r="A46" s="6" t="s">
        <v>273</v>
      </c>
      <c r="B46" s="6" t="s">
        <v>274</v>
      </c>
      <c r="C46" s="6" t="n">
        <v>9</v>
      </c>
      <c r="D46" s="6" t="n">
        <v>2</v>
      </c>
      <c r="E46" s="6" t="s">
        <v>272</v>
      </c>
      <c r="F46" s="6" t="n">
        <v>0.12</v>
      </c>
      <c r="G46" s="6" t="n">
        <v>1.8</v>
      </c>
      <c r="H46" s="6" t="s">
        <v>277</v>
      </c>
      <c r="I46" s="6" t="n">
        <v>201</v>
      </c>
      <c r="J46" s="10" t="n">
        <v>9.9434</v>
      </c>
      <c r="K46" s="10" t="n">
        <v>0.2385</v>
      </c>
      <c r="L46" s="10" t="n">
        <v>12720.283</v>
      </c>
      <c r="M46" s="10" t="n">
        <v>1.787</v>
      </c>
      <c r="N46" s="10" t="n">
        <v>0.1186</v>
      </c>
      <c r="O46" s="10" t="n">
        <v>0.0043</v>
      </c>
      <c r="P46" s="10" t="n">
        <v>1.249</v>
      </c>
      <c r="Q46" s="10" t="n">
        <v>540</v>
      </c>
      <c r="R46" s="11" t="n">
        <f aca="false">IF(P46="","",0.1*P46*M46)</f>
        <v>0.2231963</v>
      </c>
      <c r="S46" s="12" t="n">
        <f aca="false">IF(R46="","",J46/R46)</f>
        <v>44.5500216625455</v>
      </c>
      <c r="T46" s="11" t="str">
        <f aca="false">IF(E46="холостой","",IFERROR(1-AVERAGEIFS($L:$L,$B:$B,B46,$H:$H,H46,$E:$E,"холостой")/L46,""))</f>
        <v/>
      </c>
      <c r="U46" s="13" t="n">
        <f aca="false">IF(R46="","",3.6*J46/(P46*N46*M46))</f>
        <v>135.227721741285</v>
      </c>
      <c r="V46" s="11" t="n">
        <f aca="false">(M46/3.6)^2</f>
        <v>0.246401929012346</v>
      </c>
      <c r="AA46" s="13" t="n">
        <f aca="false">(J46-P_aux-c_move*M46/3.6-P_rot0)/(P46*N46*M46/3.6)</f>
        <v>105.537509094942</v>
      </c>
    </row>
    <row r="47" customFormat="false" ht="15" hidden="false" customHeight="false" outlineLevel="0" collapsed="false">
      <c r="A47" s="6" t="s">
        <v>273</v>
      </c>
      <c r="B47" s="6" t="s">
        <v>274</v>
      </c>
      <c r="C47" s="6" t="n">
        <v>10</v>
      </c>
      <c r="D47" s="6" t="n">
        <v>2</v>
      </c>
      <c r="E47" s="6" t="s">
        <v>272</v>
      </c>
      <c r="F47" s="6" t="n">
        <v>0.08</v>
      </c>
      <c r="G47" s="6" t="n">
        <v>3.6</v>
      </c>
      <c r="H47" s="6" t="s">
        <v>278</v>
      </c>
      <c r="I47" s="6" t="n">
        <v>100</v>
      </c>
      <c r="J47" s="10" t="n">
        <v>12.2048</v>
      </c>
      <c r="K47" s="10" t="n">
        <v>0.3449</v>
      </c>
      <c r="L47" s="10" t="n">
        <v>6328.85</v>
      </c>
      <c r="M47" s="10" t="n">
        <v>3.593</v>
      </c>
      <c r="N47" s="10" t="n">
        <v>0.0825</v>
      </c>
      <c r="O47" s="10" t="n">
        <v>0.0045</v>
      </c>
      <c r="P47" s="10" t="n">
        <v>1.246</v>
      </c>
      <c r="Q47" s="10" t="n">
        <v>540.05</v>
      </c>
      <c r="R47" s="11" t="n">
        <f aca="false">IF(P47="","",0.1*P47*M47)</f>
        <v>0.4476878</v>
      </c>
      <c r="S47" s="12" t="n">
        <f aca="false">IF(R47="","",J47/R47)</f>
        <v>27.2618552482333</v>
      </c>
      <c r="T47" s="11" t="str">
        <f aca="false">IF(E47="холостой","",IFERROR(1-AVERAGEIFS($L:$L,$B:$B,B47,$H:$H,H47,$E:$E,"холостой")/L47,""))</f>
        <v/>
      </c>
      <c r="U47" s="13" t="n">
        <f aca="false">IF(R47="","",3.6*J47/(P47*N47*M47))</f>
        <v>118.960822901381</v>
      </c>
      <c r="V47" s="11" t="n">
        <f aca="false">(M47/3.6)^2</f>
        <v>0.996114891975308</v>
      </c>
      <c r="AA47" s="13" t="n">
        <f aca="false">(J47-P_aux-c_move*M47/3.6-P_rot0)/(P47*N47*M47/3.6)</f>
        <v>87.6147443400138</v>
      </c>
    </row>
    <row r="48" customFormat="false" ht="15" hidden="false" customHeight="false" outlineLevel="0" collapsed="false">
      <c r="A48" s="6" t="s">
        <v>273</v>
      </c>
      <c r="B48" s="6" t="s">
        <v>274</v>
      </c>
      <c r="C48" s="6" t="n">
        <v>11</v>
      </c>
      <c r="D48" s="6" t="n">
        <v>2</v>
      </c>
      <c r="E48" s="6" t="s">
        <v>272</v>
      </c>
      <c r="F48" s="6" t="n">
        <v>0.08</v>
      </c>
      <c r="G48" s="6" t="n">
        <v>1.8</v>
      </c>
      <c r="H48" s="6" t="s">
        <v>277</v>
      </c>
      <c r="I48" s="6" t="n">
        <v>201</v>
      </c>
      <c r="J48" s="10" t="n">
        <v>7.3719</v>
      </c>
      <c r="K48" s="10" t="n">
        <v>0.2891</v>
      </c>
      <c r="L48" s="10" t="n">
        <v>12721.383</v>
      </c>
      <c r="M48" s="10" t="n">
        <v>1.789</v>
      </c>
      <c r="N48" s="10" t="n">
        <v>0.0785</v>
      </c>
      <c r="O48" s="10" t="n">
        <v>0.0041</v>
      </c>
      <c r="P48" s="10" t="n">
        <v>1.218</v>
      </c>
      <c r="Q48" s="10" t="n">
        <v>540.06</v>
      </c>
      <c r="R48" s="11" t="n">
        <f aca="false">IF(P48="","",0.1*P48*M48)</f>
        <v>0.2179002</v>
      </c>
      <c r="S48" s="12" t="n">
        <f aca="false">IF(R48="","",J48/R48)</f>
        <v>33.8315430642101</v>
      </c>
      <c r="T48" s="11" t="str">
        <f aca="false">IF(E48="холостой","",IFERROR(1-AVERAGEIFS($L:$L,$B:$B,B48,$H:$H,H48,$E:$E,"холостой")/L48,""))</f>
        <v/>
      </c>
      <c r="U48" s="13" t="n">
        <f aca="false">IF(R48="","",3.6*J48/(P48*N48*M48))</f>
        <v>155.151025517397</v>
      </c>
      <c r="V48" s="11" t="n">
        <f aca="false">(M48/3.6)^2</f>
        <v>0.246953780864198</v>
      </c>
      <c r="AA48" s="13" t="n">
        <f aca="false">(J48-P_aux-c_move*M48/3.6-P_rot0)/(P48*N48*M48/3.6)</f>
        <v>109.179896410802</v>
      </c>
    </row>
    <row r="49" customFormat="false" ht="15" hidden="false" customHeight="false" outlineLevel="0" collapsed="false">
      <c r="A49" s="6" t="s">
        <v>273</v>
      </c>
      <c r="B49" s="6" t="s">
        <v>274</v>
      </c>
      <c r="C49" s="6" t="n">
        <v>12</v>
      </c>
      <c r="D49" s="6" t="n">
        <v>2</v>
      </c>
      <c r="E49" s="6" t="s">
        <v>272</v>
      </c>
      <c r="F49" s="6" t="n">
        <v>0.16</v>
      </c>
      <c r="G49" s="6" t="n">
        <v>2.7</v>
      </c>
      <c r="H49" s="6" t="s">
        <v>275</v>
      </c>
      <c r="I49" s="6" t="n">
        <v>133</v>
      </c>
      <c r="J49" s="10" t="n">
        <v>16.3447</v>
      </c>
      <c r="K49" s="10" t="n">
        <v>0.5072</v>
      </c>
      <c r="L49" s="10" t="n">
        <v>8388.6</v>
      </c>
      <c r="M49" s="10" t="n">
        <v>2.689</v>
      </c>
      <c r="N49" s="10" t="n">
        <v>0.159</v>
      </c>
      <c r="O49" s="10" t="n">
        <v>0.0047</v>
      </c>
      <c r="P49" s="10" t="n">
        <v>1.264</v>
      </c>
      <c r="Q49" s="10" t="n">
        <v>538.23</v>
      </c>
      <c r="R49" s="11" t="n">
        <f aca="false">IF(P49="","",0.1*P49*M49)</f>
        <v>0.3398896</v>
      </c>
      <c r="S49" s="12" t="n">
        <f aca="false">IF(R49="","",J49/R49)</f>
        <v>48.0882616002373</v>
      </c>
      <c r="T49" s="11" t="n">
        <f aca="false">IF(E49="холостой","",IFERROR(1-AVERAGEIFS($L:$L,$B:$B,B49,$H:$H,H49,$E:$E,"холостой")/L49,""))</f>
        <v>-0.00674772906086818</v>
      </c>
      <c r="U49" s="13" t="n">
        <f aca="false">IF(R49="","",3.6*J49/(P49*N49*M49))</f>
        <v>108.879082868462</v>
      </c>
      <c r="V49" s="11" t="n">
        <f aca="false">(M49/3.6)^2</f>
        <v>0.55792600308642</v>
      </c>
      <c r="AA49" s="13" t="n">
        <f aca="false">(J49-P_aux-c_move*M49/3.6-P_rot0)/(P49*N49*M49/3.6)</f>
        <v>90.9000302399624</v>
      </c>
    </row>
    <row r="50" customFormat="false" ht="15" hidden="false" customHeight="false" outlineLevel="0" collapsed="false">
      <c r="A50" s="6" t="s">
        <v>273</v>
      </c>
      <c r="B50" s="6" t="s">
        <v>274</v>
      </c>
      <c r="C50" s="6" t="n">
        <v>13</v>
      </c>
      <c r="D50" s="6" t="n">
        <v>2</v>
      </c>
      <c r="E50" s="6" t="s">
        <v>272</v>
      </c>
      <c r="F50" s="6" t="n">
        <v>0.16</v>
      </c>
      <c r="G50" s="6" t="n">
        <v>1.8</v>
      </c>
      <c r="H50" s="6" t="s">
        <v>277</v>
      </c>
      <c r="I50" s="6" t="n">
        <v>200</v>
      </c>
      <c r="J50" s="10" t="n">
        <v>12.4602</v>
      </c>
      <c r="K50" s="10" t="n">
        <v>0.3006</v>
      </c>
      <c r="L50" s="10" t="n">
        <v>12655.35</v>
      </c>
      <c r="M50" s="10" t="n">
        <v>1.794</v>
      </c>
      <c r="N50" s="10" t="n">
        <v>0.1606</v>
      </c>
      <c r="O50" s="10" t="n">
        <v>0.0054</v>
      </c>
      <c r="P50" s="10" t="n">
        <v>1.252</v>
      </c>
      <c r="Q50" s="10" t="n">
        <v>539.95</v>
      </c>
      <c r="R50" s="11" t="n">
        <f aca="false">IF(P50="","",0.1*P50*M50)</f>
        <v>0.2246088</v>
      </c>
      <c r="S50" s="12" t="n">
        <f aca="false">IF(R50="","",J50/R50)</f>
        <v>55.47511940761</v>
      </c>
      <c r="T50" s="11" t="str">
        <f aca="false">IF(E50="холостой","",IFERROR(1-AVERAGEIFS($L:$L,$B:$B,B50,$H:$H,H50,$E:$E,"холостой")/L50,""))</f>
        <v/>
      </c>
      <c r="U50" s="13" t="n">
        <f aca="false">IF(R50="","",3.6*J50/(P50*N50*M50))</f>
        <v>124.352696056909</v>
      </c>
      <c r="V50" s="11" t="n">
        <f aca="false">(M50/3.6)^2</f>
        <v>0.248336111111111</v>
      </c>
      <c r="AA50" s="13" t="n">
        <f aca="false">(J50-P_aux-c_move*M50/3.6-P_rot0)/(P50*N50*M50/3.6)</f>
        <v>102.524979894603</v>
      </c>
    </row>
    <row r="51" customFormat="false" ht="15" hidden="false" customHeight="false" outlineLevel="0" collapsed="false">
      <c r="A51" s="6" t="s">
        <v>273</v>
      </c>
      <c r="B51" s="6" t="s">
        <v>274</v>
      </c>
      <c r="C51" s="6" t="n">
        <v>14</v>
      </c>
      <c r="D51" s="6" t="n">
        <v>2</v>
      </c>
      <c r="E51" s="6" t="s">
        <v>272</v>
      </c>
      <c r="F51" s="6" t="n">
        <v>0.12</v>
      </c>
      <c r="G51" s="6" t="n">
        <v>3.6</v>
      </c>
      <c r="H51" s="6" t="s">
        <v>278</v>
      </c>
      <c r="I51" s="6" t="n">
        <v>100</v>
      </c>
      <c r="J51" s="10" t="n">
        <v>16.533</v>
      </c>
      <c r="K51" s="10" t="n">
        <v>0.3406</v>
      </c>
      <c r="L51" s="10" t="n">
        <v>6327.133</v>
      </c>
      <c r="M51" s="10" t="n">
        <v>3.614</v>
      </c>
      <c r="N51" s="10" t="n">
        <v>0.1201</v>
      </c>
      <c r="O51" s="10" t="n">
        <v>0.0047</v>
      </c>
      <c r="P51" s="10" t="n">
        <v>1.269</v>
      </c>
      <c r="Q51" s="10" t="n">
        <v>539.86</v>
      </c>
      <c r="R51" s="11" t="n">
        <f aca="false">IF(P51="","",0.1*P51*M51)</f>
        <v>0.4586166</v>
      </c>
      <c r="S51" s="12" t="n">
        <f aca="false">IF(R51="","",J51/R51)</f>
        <v>36.0497199621645</v>
      </c>
      <c r="T51" s="11" t="str">
        <f aca="false">IF(E51="холостой","",IFERROR(1-AVERAGEIFS($L:$L,$B:$B,B51,$H:$H,H51,$E:$E,"холостой")/L51,""))</f>
        <v/>
      </c>
      <c r="U51" s="13" t="n">
        <f aca="false">IF(R51="","",3.6*J51/(P51*N51*M51))</f>
        <v>108.059110627637</v>
      </c>
      <c r="V51" s="11" t="n">
        <f aca="false">(M51/3.6)^2</f>
        <v>1.00779290123457</v>
      </c>
      <c r="AA51" s="13" t="n">
        <f aca="false">(J51-P_aux-c_move*M51/3.6-P_rot0)/(P51*N51*M51/3.6)</f>
        <v>86.9612497467673</v>
      </c>
    </row>
    <row r="52" customFormat="false" ht="15" hidden="false" customHeight="false" outlineLevel="0" collapsed="false">
      <c r="A52" s="6" t="s">
        <v>273</v>
      </c>
      <c r="B52" s="6" t="s">
        <v>274</v>
      </c>
      <c r="C52" s="6" t="n">
        <v>15</v>
      </c>
      <c r="D52" s="6" t="n">
        <v>2</v>
      </c>
      <c r="E52" s="6" t="s">
        <v>272</v>
      </c>
      <c r="F52" s="6" t="n">
        <v>0.08</v>
      </c>
      <c r="G52" s="6" t="n">
        <v>2.7</v>
      </c>
      <c r="H52" s="6" t="s">
        <v>275</v>
      </c>
      <c r="I52" s="6" t="n">
        <v>134</v>
      </c>
      <c r="J52" s="10" t="n">
        <v>9.6457</v>
      </c>
      <c r="K52" s="10" t="n">
        <v>0.3054</v>
      </c>
      <c r="L52" s="10" t="n">
        <v>8479.583</v>
      </c>
      <c r="M52" s="10" t="n">
        <v>2.697</v>
      </c>
      <c r="N52" s="10" t="n">
        <v>0.0776</v>
      </c>
      <c r="O52" s="10" t="n">
        <v>0.0047</v>
      </c>
      <c r="P52" s="10" t="n">
        <v>1.242</v>
      </c>
      <c r="Q52" s="10" t="n">
        <v>539.97</v>
      </c>
      <c r="R52" s="11" t="n">
        <f aca="false">IF(P52="","",0.1*P52*M52)</f>
        <v>0.3349674</v>
      </c>
      <c r="S52" s="12" t="n">
        <f aca="false">IF(R52="","",J52/R52)</f>
        <v>28.7959365597966</v>
      </c>
      <c r="T52" s="11" t="n">
        <f aca="false">IF(E52="холостой","",IFERROR(1-AVERAGEIFS($L:$L,$B:$B,B52,$H:$H,H52,$E:$E,"холостой")/L52,""))</f>
        <v>0.00405432672809514</v>
      </c>
      <c r="U52" s="13" t="n">
        <f aca="false">IF(R52="","",3.6*J52/(P52*N52*M52))</f>
        <v>133.589396411427</v>
      </c>
      <c r="V52" s="11" t="n">
        <f aca="false">(M52/3.6)^2</f>
        <v>0.561250694444444</v>
      </c>
      <c r="AA52" s="13" t="n">
        <f aca="false">(J52-P_aux-c_move*M52/3.6-P_rot0)/(P52*N52*M52/3.6)</f>
        <v>96.1461852780763</v>
      </c>
    </row>
    <row r="53" customFormat="false" ht="15" hidden="false" customHeight="false" outlineLevel="0" collapsed="false">
      <c r="A53" s="6" t="s">
        <v>273</v>
      </c>
      <c r="B53" s="6" t="s">
        <v>274</v>
      </c>
      <c r="C53" s="6" t="n">
        <v>16</v>
      </c>
      <c r="D53" s="6" t="n">
        <v>2</v>
      </c>
      <c r="E53" s="6" t="s">
        <v>272</v>
      </c>
      <c r="F53" s="6" t="n">
        <v>0.12</v>
      </c>
      <c r="G53" s="6" t="n">
        <v>2.7</v>
      </c>
      <c r="H53" s="6" t="s">
        <v>275</v>
      </c>
      <c r="I53" s="6" t="n">
        <v>134</v>
      </c>
      <c r="J53" s="10" t="n">
        <v>13.6031</v>
      </c>
      <c r="K53" s="10" t="n">
        <v>0.3482</v>
      </c>
      <c r="L53" s="10" t="n">
        <v>8477.2</v>
      </c>
      <c r="M53" s="10" t="n">
        <v>2.696</v>
      </c>
      <c r="N53" s="10" t="n">
        <v>0.1216</v>
      </c>
      <c r="O53" s="10" t="n">
        <v>0.0044</v>
      </c>
      <c r="P53" s="10" t="n">
        <v>1.243</v>
      </c>
      <c r="Q53" s="10" t="n">
        <v>539.84</v>
      </c>
      <c r="R53" s="11" t="n">
        <f aca="false">IF(P53="","",0.1*P53*M53)</f>
        <v>0.3351128</v>
      </c>
      <c r="S53" s="12" t="n">
        <f aca="false">IF(R53="","",J53/R53)</f>
        <v>40.5926004616953</v>
      </c>
      <c r="T53" s="11" t="n">
        <f aca="false">IF(E53="холостой","",IFERROR(1-AVERAGEIFS($L:$L,$B:$B,B53,$H:$H,H53,$E:$E,"холостой")/L53,""))</f>
        <v>0.00377435945831184</v>
      </c>
      <c r="U53" s="13" t="n">
        <f aca="false">IF(R53="","",3.6*J53/(P53*N53*M53))</f>
        <v>120.175461893177</v>
      </c>
      <c r="V53" s="11" t="n">
        <f aca="false">(M53/3.6)^2</f>
        <v>0.560834567901235</v>
      </c>
      <c r="AA53" s="13" t="n">
        <f aca="false">(J53-P_aux-c_move*M53/3.6-P_rot0)/(P53*N53*M53/3.6)</f>
        <v>96.2962008196283</v>
      </c>
    </row>
    <row r="54" customFormat="false" ht="15" hidden="false" customHeight="false" outlineLevel="0" collapsed="false">
      <c r="A54" s="6" t="s">
        <v>273</v>
      </c>
      <c r="B54" s="6" t="s">
        <v>276</v>
      </c>
      <c r="C54" s="6" t="n">
        <v>18</v>
      </c>
      <c r="D54" s="6" t="n">
        <v>3</v>
      </c>
      <c r="E54" s="6" t="s">
        <v>272</v>
      </c>
      <c r="F54" s="6" t="n">
        <v>0.08</v>
      </c>
      <c r="G54" s="6" t="n">
        <v>3.6</v>
      </c>
      <c r="H54" s="6" t="s">
        <v>278</v>
      </c>
      <c r="I54" s="6" t="n">
        <v>100</v>
      </c>
      <c r="J54" s="10" t="n">
        <v>11.7945</v>
      </c>
      <c r="K54" s="10" t="n">
        <v>0.303</v>
      </c>
      <c r="L54" s="10" t="n">
        <v>6328.517</v>
      </c>
      <c r="M54" s="10" t="n">
        <v>3.58</v>
      </c>
      <c r="N54" s="10" t="n">
        <v>0.0803</v>
      </c>
      <c r="O54" s="10" t="n">
        <v>0.0043</v>
      </c>
      <c r="P54" s="10" t="n">
        <v>1.242</v>
      </c>
      <c r="Q54" s="10" t="n">
        <v>540.01</v>
      </c>
      <c r="R54" s="11" t="n">
        <f aca="false">IF(P54="","",0.1*P54*M54)</f>
        <v>0.444636</v>
      </c>
      <c r="S54" s="12" t="n">
        <f aca="false">IF(R54="","",J54/R54)</f>
        <v>26.526192211157</v>
      </c>
      <c r="T54" s="11" t="str">
        <f aca="false">IF(E54="холостой","",IFERROR(1-AVERAGEIFS($L:$L,$B:$B,B54,$H:$H,H54,$E:$E,"холостой")/L54,""))</f>
        <v/>
      </c>
      <c r="U54" s="13" t="n">
        <f aca="false">IF(R54="","",3.6*J54/(P54*N54*M54))</f>
        <v>118.921907795972</v>
      </c>
      <c r="V54" s="11" t="n">
        <f aca="false">(M54/3.6)^2</f>
        <v>0.98891975308642</v>
      </c>
      <c r="AA54" s="13" t="n">
        <f aca="false">(J54-P_aux-c_move*M54/3.6-P_rot0)/(P54*N54*M54/3.6)</f>
        <v>86.570951250449</v>
      </c>
    </row>
    <row r="55" customFormat="false" ht="15" hidden="false" customHeight="false" outlineLevel="0" collapsed="false">
      <c r="A55" s="6" t="s">
        <v>273</v>
      </c>
      <c r="B55" s="6" t="s">
        <v>276</v>
      </c>
      <c r="C55" s="6" t="n">
        <v>19</v>
      </c>
      <c r="D55" s="6" t="n">
        <v>3</v>
      </c>
      <c r="E55" s="6" t="s">
        <v>272</v>
      </c>
      <c r="F55" s="6" t="n">
        <v>0.12</v>
      </c>
      <c r="G55" s="6" t="n">
        <v>3.6</v>
      </c>
      <c r="H55" s="6" t="s">
        <v>278</v>
      </c>
      <c r="I55" s="6" t="n">
        <v>100</v>
      </c>
      <c r="J55" s="10" t="n">
        <v>16.2925</v>
      </c>
      <c r="K55" s="10" t="n">
        <v>0.4952</v>
      </c>
      <c r="L55" s="10" t="n">
        <v>6308.583</v>
      </c>
      <c r="M55" s="10" t="n">
        <v>3.594</v>
      </c>
      <c r="N55" s="10" t="n">
        <v>0.1205</v>
      </c>
      <c r="O55" s="10" t="n">
        <v>0.0049</v>
      </c>
      <c r="P55" s="10" t="n">
        <v>1.249</v>
      </c>
      <c r="Q55" s="10" t="n">
        <v>538.33</v>
      </c>
      <c r="R55" s="11" t="n">
        <f aca="false">IF(P55="","",0.1*P55*M55)</f>
        <v>0.4488906</v>
      </c>
      <c r="S55" s="12" t="n">
        <f aca="false">IF(R55="","",J55/R55)</f>
        <v>36.2950349149659</v>
      </c>
      <c r="T55" s="11" t="str">
        <f aca="false">IF(E55="холостой","",IFERROR(1-AVERAGEIFS($L:$L,$B:$B,B55,$H:$H,H55,$E:$E,"холостой")/L55,""))</f>
        <v/>
      </c>
      <c r="U55" s="13" t="n">
        <f aca="false">IF(R55="","",3.6*J55/(P55*N55*M55))</f>
        <v>108.433299331019</v>
      </c>
      <c r="V55" s="11" t="n">
        <f aca="false">(M55/3.6)^2</f>
        <v>0.996669444444444</v>
      </c>
      <c r="AA55" s="13" t="n">
        <f aca="false">(J55-P_aux-c_move*M55/3.6-P_rot0)/(P55*N55*M55/3.6)</f>
        <v>87.0259897674654</v>
      </c>
    </row>
    <row r="56" customFormat="false" ht="15" hidden="false" customHeight="false" outlineLevel="0" collapsed="false">
      <c r="A56" s="6" t="s">
        <v>273</v>
      </c>
      <c r="B56" s="6" t="s">
        <v>276</v>
      </c>
      <c r="C56" s="6" t="n">
        <v>20</v>
      </c>
      <c r="D56" s="6" t="n">
        <v>3</v>
      </c>
      <c r="E56" s="6" t="s">
        <v>272</v>
      </c>
      <c r="F56" s="6" t="n">
        <v>0.16</v>
      </c>
      <c r="G56" s="6" t="n">
        <v>2.7</v>
      </c>
      <c r="H56" s="6" t="s">
        <v>275</v>
      </c>
      <c r="I56" s="6" t="n">
        <v>134</v>
      </c>
      <c r="J56" s="10" t="n">
        <v>16.2153</v>
      </c>
      <c r="K56" s="10" t="n">
        <v>0.5465</v>
      </c>
      <c r="L56" s="10" t="n">
        <v>8453.583</v>
      </c>
      <c r="M56" s="10" t="n">
        <v>2.688</v>
      </c>
      <c r="N56" s="10" t="n">
        <v>0.1622</v>
      </c>
      <c r="O56" s="10" t="n">
        <v>0.005</v>
      </c>
      <c r="P56" s="10" t="n">
        <v>1.253</v>
      </c>
      <c r="Q56" s="10" t="n">
        <v>538.32</v>
      </c>
      <c r="R56" s="11" t="n">
        <f aca="false">IF(P56="","",0.1*P56*M56)</f>
        <v>0.3368064</v>
      </c>
      <c r="S56" s="12" t="n">
        <f aca="false">IF(R56="","",J56/R56)</f>
        <v>48.1442751681678</v>
      </c>
      <c r="T56" s="11" t="n">
        <f aca="false">IF(E56="холостой","",IFERROR(1-AVERAGEIFS($L:$L,$B:$B,B56,$H:$H,H56,$E:$E,"холостой")/L56,""))</f>
        <v>0.00106558367026144</v>
      </c>
      <c r="U56" s="13" t="n">
        <f aca="false">IF(R56="","",3.6*J56/(P56*N56*M56))</f>
        <v>106.855357956476</v>
      </c>
      <c r="V56" s="11" t="n">
        <f aca="false">(M56/3.6)^2</f>
        <v>0.557511111111111</v>
      </c>
      <c r="AA56" s="13" t="n">
        <f aca="false">(J56-P_aux-c_move*M56/3.6-P_rot0)/(P56*N56*M56/3.6)</f>
        <v>89.0734405785896</v>
      </c>
    </row>
    <row r="57" customFormat="false" ht="15" hidden="false" customHeight="false" outlineLevel="0" collapsed="false">
      <c r="A57" s="6" t="s">
        <v>273</v>
      </c>
      <c r="B57" s="6" t="s">
        <v>276</v>
      </c>
      <c r="C57" s="6" t="n">
        <v>21</v>
      </c>
      <c r="D57" s="6" t="n">
        <v>3</v>
      </c>
      <c r="E57" s="6" t="s">
        <v>272</v>
      </c>
      <c r="F57" s="6" t="n">
        <v>0.12</v>
      </c>
      <c r="G57" s="6" t="n">
        <v>2.7</v>
      </c>
      <c r="H57" s="6" t="s">
        <v>275</v>
      </c>
      <c r="I57" s="6" t="n">
        <v>134</v>
      </c>
      <c r="J57" s="10" t="n">
        <v>12.9499</v>
      </c>
      <c r="K57" s="10" t="n">
        <v>0.2893</v>
      </c>
      <c r="L57" s="10" t="n">
        <v>8478.95</v>
      </c>
      <c r="M57" s="10" t="n">
        <v>2.681</v>
      </c>
      <c r="N57" s="10" t="n">
        <v>0.1194</v>
      </c>
      <c r="O57" s="10" t="n">
        <v>0.0049</v>
      </c>
      <c r="P57" s="10" t="n">
        <v>1.25</v>
      </c>
      <c r="Q57" s="10" t="n">
        <v>539.94</v>
      </c>
      <c r="R57" s="11" t="n">
        <f aca="false">IF(P57="","",0.1*P57*M57)</f>
        <v>0.335125</v>
      </c>
      <c r="S57" s="12" t="n">
        <f aca="false">IF(R57="","",J57/R57)</f>
        <v>38.6419992540097</v>
      </c>
      <c r="T57" s="11" t="n">
        <f aca="false">IF(E57="холостой","",IFERROR(1-AVERAGEIFS($L:$L,$B:$B,B57,$H:$H,H57,$E:$E,"холостой")/L57,""))</f>
        <v>0.00405415764923722</v>
      </c>
      <c r="U57" s="13" t="n">
        <f aca="false">IF(R57="","",3.6*J57/(P57*N57*M57))</f>
        <v>116.508540464351</v>
      </c>
      <c r="V57" s="11" t="n">
        <f aca="false">(M57/3.6)^2</f>
        <v>0.554611188271605</v>
      </c>
      <c r="AA57" s="13" t="n">
        <f aca="false">(J57-P_aux-c_move*M57/3.6-P_rot0)/(P57*N57*M57/3.6)</f>
        <v>92.2673548842783</v>
      </c>
    </row>
    <row r="58" customFormat="false" ht="15" hidden="false" customHeight="false" outlineLevel="0" collapsed="false">
      <c r="A58" s="6" t="s">
        <v>273</v>
      </c>
      <c r="B58" s="6" t="s">
        <v>276</v>
      </c>
      <c r="C58" s="6" t="n">
        <v>22</v>
      </c>
      <c r="D58" s="6" t="n">
        <v>3</v>
      </c>
      <c r="E58" s="6" t="s">
        <v>272</v>
      </c>
      <c r="F58" s="6" t="n">
        <v>0.08</v>
      </c>
      <c r="G58" s="6" t="n">
        <v>2.7</v>
      </c>
      <c r="H58" s="6" t="s">
        <v>275</v>
      </c>
      <c r="I58" s="6" t="n">
        <v>134</v>
      </c>
      <c r="J58" s="10" t="n">
        <v>9.6824</v>
      </c>
      <c r="K58" s="10" t="n">
        <v>0.2914</v>
      </c>
      <c r="L58" s="10" t="n">
        <v>8480.083</v>
      </c>
      <c r="M58" s="10" t="n">
        <v>2.681</v>
      </c>
      <c r="N58" s="10" t="n">
        <v>0.0793</v>
      </c>
      <c r="O58" s="10" t="n">
        <v>0.0055</v>
      </c>
      <c r="P58" s="10" t="n">
        <v>1.247</v>
      </c>
      <c r="Q58" s="10" t="n">
        <v>540</v>
      </c>
      <c r="R58" s="11" t="n">
        <f aca="false">IF(P58="","",0.1*P58*M58)</f>
        <v>0.3343207</v>
      </c>
      <c r="S58" s="12" t="n">
        <f aca="false">IF(R58="","",J58/R58)</f>
        <v>28.9614133973756</v>
      </c>
      <c r="T58" s="11" t="n">
        <f aca="false">IF(E58="холостой","",IFERROR(1-AVERAGEIFS($L:$L,$B:$B,B58,$H:$H,H58,$E:$E,"холостой")/L58,""))</f>
        <v>0.00418722316750908</v>
      </c>
      <c r="U58" s="13" t="n">
        <f aca="false">IF(R58="","",3.6*J58/(P58*N58*M58))</f>
        <v>131.476782131844</v>
      </c>
      <c r="V58" s="11" t="n">
        <f aca="false">(M58/3.6)^2</f>
        <v>0.554611188271605</v>
      </c>
      <c r="AA58" s="13" t="n">
        <f aca="false">(J58-P_aux-c_move*M58/3.6-P_rot0)/(P58*N58*M58/3.6)</f>
        <v>94.8896342852004</v>
      </c>
    </row>
    <row r="59" customFormat="false" ht="15" hidden="false" customHeight="false" outlineLevel="0" collapsed="false">
      <c r="A59" s="6" t="s">
        <v>273</v>
      </c>
      <c r="B59" s="6" t="s">
        <v>276</v>
      </c>
      <c r="C59" s="6" t="n">
        <v>23</v>
      </c>
      <c r="D59" s="6" t="n">
        <v>3</v>
      </c>
      <c r="E59" s="6" t="s">
        <v>272</v>
      </c>
      <c r="F59" s="6" t="n">
        <v>0.08</v>
      </c>
      <c r="G59" s="6" t="n">
        <v>1.8</v>
      </c>
      <c r="H59" s="6" t="s">
        <v>277</v>
      </c>
      <c r="I59" s="6" t="n">
        <v>201</v>
      </c>
      <c r="J59" s="10" t="n">
        <v>7.388</v>
      </c>
      <c r="K59" s="10" t="n">
        <v>0.252</v>
      </c>
      <c r="L59" s="10" t="n">
        <v>12720.067</v>
      </c>
      <c r="M59" s="10" t="n">
        <v>1.788</v>
      </c>
      <c r="N59" s="10" t="n">
        <v>0.0817</v>
      </c>
      <c r="O59" s="10" t="n">
        <v>0.0047</v>
      </c>
      <c r="P59" s="10" t="n">
        <v>1.255</v>
      </c>
      <c r="Q59" s="10" t="n">
        <v>539.99</v>
      </c>
      <c r="R59" s="11" t="n">
        <f aca="false">IF(P59="","",0.1*P59*M59)</f>
        <v>0.224394</v>
      </c>
      <c r="S59" s="12" t="n">
        <f aca="false">IF(R59="","",J59/R59)</f>
        <v>32.9242314856904</v>
      </c>
      <c r="T59" s="11" t="str">
        <f aca="false">IF(E59="холостой","",IFERROR(1-AVERAGEIFS($L:$L,$B:$B,B59,$H:$H,H59,$E:$E,"холостой")/L59,""))</f>
        <v/>
      </c>
      <c r="U59" s="13" t="n">
        <f aca="false">IF(R59="","",3.6*J59/(P59*N59*M59))</f>
        <v>145.076173009162</v>
      </c>
      <c r="V59" s="11" t="n">
        <f aca="false">(M59/3.6)^2</f>
        <v>0.246677777777778</v>
      </c>
      <c r="AA59" s="13" t="n">
        <f aca="false">(J59-P_aux-c_move*M59/3.6-P_rot0)/(P59*N59*M59/3.6)</f>
        <v>102.195120132637</v>
      </c>
    </row>
    <row r="60" customFormat="false" ht="15" hidden="false" customHeight="false" outlineLevel="0" collapsed="false">
      <c r="A60" s="6" t="s">
        <v>273</v>
      </c>
      <c r="B60" s="6" t="s">
        <v>276</v>
      </c>
      <c r="C60" s="6" t="n">
        <v>24</v>
      </c>
      <c r="D60" s="6" t="n">
        <v>3</v>
      </c>
      <c r="E60" s="6" t="s">
        <v>272</v>
      </c>
      <c r="F60" s="6" t="n">
        <v>0.16</v>
      </c>
      <c r="G60" s="6" t="n">
        <v>1.8</v>
      </c>
      <c r="H60" s="6" t="s">
        <v>277</v>
      </c>
      <c r="I60" s="6" t="n">
        <v>200</v>
      </c>
      <c r="J60" s="10" t="n">
        <v>12.4823</v>
      </c>
      <c r="K60" s="10" t="n">
        <v>0.3089</v>
      </c>
      <c r="L60" s="10" t="n">
        <v>12657.35</v>
      </c>
      <c r="M60" s="10" t="n">
        <v>1.797</v>
      </c>
      <c r="N60" s="10" t="n">
        <v>0.1593</v>
      </c>
      <c r="O60" s="10" t="n">
        <v>0.0039</v>
      </c>
      <c r="P60" s="10" t="n">
        <v>1.236</v>
      </c>
      <c r="Q60" s="10" t="n">
        <v>540.04</v>
      </c>
      <c r="R60" s="11" t="n">
        <f aca="false">IF(P60="","",0.1*P60*M60)</f>
        <v>0.2221092</v>
      </c>
      <c r="S60" s="12" t="n">
        <f aca="false">IF(R60="","",J60/R60)</f>
        <v>56.1989327772105</v>
      </c>
      <c r="T60" s="11" t="str">
        <f aca="false">IF(E60="холостой","",IFERROR(1-AVERAGEIFS($L:$L,$B:$B,B60,$H:$H,H60,$E:$E,"холостой")/L60,""))</f>
        <v/>
      </c>
      <c r="U60" s="13" t="n">
        <f aca="false">IF(R60="","",3.6*J60/(P60*N60*M60))</f>
        <v>127.0032379146</v>
      </c>
      <c r="V60" s="11" t="n">
        <f aca="false">(M60/3.6)^2</f>
        <v>0.249167361111111</v>
      </c>
      <c r="AA60" s="13" t="n">
        <f aca="false">(J60-P_aux-c_move*M60/3.6-P_rot0)/(P60*N60*M60/3.6)</f>
        <v>104.732284154107</v>
      </c>
    </row>
    <row r="61" customFormat="false" ht="15" hidden="false" customHeight="false" outlineLevel="0" collapsed="false">
      <c r="A61" s="6" t="s">
        <v>273</v>
      </c>
      <c r="B61" s="6" t="s">
        <v>276</v>
      </c>
      <c r="C61" s="6" t="n">
        <v>25</v>
      </c>
      <c r="D61" s="6" t="n">
        <v>3</v>
      </c>
      <c r="E61" s="6" t="s">
        <v>272</v>
      </c>
      <c r="F61" s="6" t="n">
        <v>0.12</v>
      </c>
      <c r="G61" s="6" t="n">
        <v>1.8</v>
      </c>
      <c r="H61" s="6" t="s">
        <v>277</v>
      </c>
      <c r="I61" s="6" t="n">
        <v>201</v>
      </c>
      <c r="J61" s="10" t="n">
        <v>9.8814</v>
      </c>
      <c r="K61" s="10" t="n">
        <v>0.3387</v>
      </c>
      <c r="L61" s="10" t="n">
        <v>12720.933</v>
      </c>
      <c r="M61" s="10" t="n">
        <v>1.794</v>
      </c>
      <c r="N61" s="10" t="n">
        <v>0.1196</v>
      </c>
      <c r="O61" s="10" t="n">
        <v>0.0043</v>
      </c>
      <c r="P61" s="10" t="n">
        <v>1.254</v>
      </c>
      <c r="Q61" s="10" t="n">
        <v>540.01</v>
      </c>
      <c r="R61" s="11" t="n">
        <f aca="false">IF(P61="","",0.1*P61*M61)</f>
        <v>0.2249676</v>
      </c>
      <c r="S61" s="12" t="n">
        <f aca="false">IF(R61="","",J61/R61)</f>
        <v>43.9236583401343</v>
      </c>
      <c r="T61" s="11" t="str">
        <f aca="false">IF(E61="холостой","",IFERROR(1-AVERAGEIFS($L:$L,$B:$B,B61,$H:$H,H61,$E:$E,"холостой")/L61,""))</f>
        <v/>
      </c>
      <c r="U61" s="13" t="n">
        <f aca="false">IF(R61="","",3.6*J61/(P61*N61*M61))</f>
        <v>132.211680622478</v>
      </c>
      <c r="V61" s="11" t="n">
        <f aca="false">(M61/3.6)^2</f>
        <v>0.248336111111111</v>
      </c>
      <c r="AA61" s="13" t="n">
        <f aca="false">(J61-P_aux-c_move*M61/3.6-P_rot0)/(P61*N61*M61/3.6)</f>
        <v>102.947966100825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70"/>
  </cols>
  <sheetData>
    <row r="1" customFormat="false" ht="45" hidden="false" customHeight="true" outlineLevel="0" collapsed="false">
      <c r="A1" s="4" t="s">
        <v>279</v>
      </c>
      <c r="B1" s="4" t="s">
        <v>280</v>
      </c>
      <c r="C1" s="4" t="s">
        <v>37</v>
      </c>
      <c r="D1" s="4" t="s">
        <v>38</v>
      </c>
      <c r="E1" s="4" t="s">
        <v>281</v>
      </c>
    </row>
    <row r="2" customFormat="false" ht="15" hidden="false" customHeight="false" outlineLevel="0" collapsed="false">
      <c r="A2" s="5" t="s">
        <v>282</v>
      </c>
      <c r="B2" s="6" t="s">
        <v>283</v>
      </c>
      <c r="C2" s="15" t="n">
        <f aca="false">AVERAGE(Проходы!W2:W5)/(m_ET*g)</f>
        <v>0.146467621434588</v>
      </c>
      <c r="D2" s="6" t="s">
        <v>75</v>
      </c>
      <c r="E2" s="6" t="s">
        <v>284</v>
      </c>
    </row>
    <row r="3" customFormat="false" ht="15" hidden="false" customHeight="false" outlineLevel="0" collapsed="false">
      <c r="A3" s="5" t="s">
        <v>285</v>
      </c>
      <c r="B3" s="6" t="s">
        <v>286</v>
      </c>
      <c r="C3" s="15" t="n">
        <f aca="false">INDEX(LINEST(Проходы!Y6:Y29,Проходы!V6:V29),1,2)*1000</f>
        <v>34579.4225774855</v>
      </c>
      <c r="D3" s="6" t="s">
        <v>287</v>
      </c>
      <c r="E3" s="6" t="s">
        <v>288</v>
      </c>
    </row>
    <row r="4" customFormat="false" ht="15" hidden="false" customHeight="false" outlineLevel="0" collapsed="false">
      <c r="A4" s="5" t="s">
        <v>289</v>
      </c>
      <c r="B4" s="6" t="s">
        <v>290</v>
      </c>
      <c r="C4" s="15" t="n">
        <f aca="false">INDEX(LINEST(Проходы!Y6:Y29,Проходы!V6:V29),1,1)*1000</f>
        <v>1989.17591054482</v>
      </c>
      <c r="D4" s="6" t="s">
        <v>291</v>
      </c>
      <c r="E4" s="6" t="s">
        <v>288</v>
      </c>
    </row>
    <row r="5" customFormat="false" ht="15" hidden="false" customHeight="false" outlineLevel="0" collapsed="false">
      <c r="A5" s="5" t="s">
        <v>292</v>
      </c>
      <c r="B5" s="6" t="s">
        <v>293</v>
      </c>
      <c r="C5" s="15" t="n">
        <f aca="false">INDEX(LINEST(Проходы!Y6:Y29,Проходы!V6:V29,TRUE(),TRUE()),3,1)</f>
        <v>0.419715588076383</v>
      </c>
      <c r="D5" s="6" t="s">
        <v>75</v>
      </c>
      <c r="E5" s="6" t="s">
        <v>294</v>
      </c>
    </row>
    <row r="6" customFormat="false" ht="15" hidden="false" customHeight="false" outlineLevel="0" collapsed="false">
      <c r="A6" s="5" t="s">
        <v>295</v>
      </c>
      <c r="B6" s="6" t="s">
        <v>296</v>
      </c>
      <c r="C6" s="16" t="n">
        <v>0.821404</v>
      </c>
      <c r="D6" s="6" t="s">
        <v>75</v>
      </c>
      <c r="E6" s="6" t="s">
        <v>297</v>
      </c>
    </row>
    <row r="7" customFormat="false" ht="15" hidden="false" customHeight="false" outlineLevel="0" collapsed="false">
      <c r="A7" s="5" t="s">
        <v>298</v>
      </c>
      <c r="B7" s="6" t="s">
        <v>299</v>
      </c>
      <c r="C7" s="16" t="n">
        <v>6.745697</v>
      </c>
      <c r="D7" s="6" t="s">
        <v>75</v>
      </c>
      <c r="E7" s="6" t="s">
        <v>300</v>
      </c>
    </row>
    <row r="8" customFormat="false" ht="15" hidden="false" customHeight="false" outlineLevel="0" collapsed="false">
      <c r="A8" s="5" t="s">
        <v>301</v>
      </c>
      <c r="B8" s="6" t="s">
        <v>302</v>
      </c>
      <c r="C8" s="15" t="n">
        <f aca="false">AVERAGE(Проходы!AB30:AB37)</f>
        <v>2.05875785793399</v>
      </c>
      <c r="D8" s="6" t="s">
        <v>303</v>
      </c>
      <c r="E8" s="6" t="s">
        <v>304</v>
      </c>
    </row>
    <row r="9" customFormat="false" ht="15" hidden="false" customHeight="false" outlineLevel="0" collapsed="false">
      <c r="A9" s="5" t="s">
        <v>305</v>
      </c>
      <c r="B9" s="6" t="s">
        <v>306</v>
      </c>
      <c r="C9" s="16" t="n">
        <v>0.9812</v>
      </c>
      <c r="D9" s="6" t="s">
        <v>66</v>
      </c>
      <c r="E9" s="6" t="s">
        <v>307</v>
      </c>
    </row>
    <row r="10" customFormat="false" ht="15" hidden="false" customHeight="false" outlineLevel="0" collapsed="false">
      <c r="A10" s="5" t="s">
        <v>308</v>
      </c>
      <c r="B10" s="6" t="s">
        <v>309</v>
      </c>
      <c r="C10" s="15" t="n">
        <f aca="false">INDEX(LINEST(Проходы!AA38:AA61,Проходы!M38:N61),1,3)</f>
        <v>125.550648318433</v>
      </c>
      <c r="D10" s="6" t="s">
        <v>310</v>
      </c>
      <c r="E10" s="6" t="s">
        <v>311</v>
      </c>
    </row>
    <row r="11" customFormat="false" ht="15" hidden="false" customHeight="false" outlineLevel="0" collapsed="false">
      <c r="A11" s="5" t="s">
        <v>312</v>
      </c>
      <c r="B11" s="6" t="s">
        <v>313</v>
      </c>
      <c r="C11" s="15" t="n">
        <f aca="false">INDEX(LINEST(Проходы!AA38:AA61,Проходы!M38:N61),1,2)</f>
        <v>-10.2737530004209</v>
      </c>
      <c r="D11" s="6" t="s">
        <v>314</v>
      </c>
      <c r="E11" s="6" t="s">
        <v>311</v>
      </c>
    </row>
    <row r="12" customFormat="false" ht="15" hidden="false" customHeight="false" outlineLevel="0" collapsed="false">
      <c r="A12" s="5" t="s">
        <v>315</v>
      </c>
      <c r="B12" s="6" t="s">
        <v>316</v>
      </c>
      <c r="C12" s="15" t="n">
        <f aca="false">INDEX(LINEST(Проходы!AA38:AA61,Проходы!M38:N61),1,1)</f>
        <v>-28.2256677671611</v>
      </c>
      <c r="D12" s="6" t="s">
        <v>317</v>
      </c>
      <c r="E12" s="6" t="s">
        <v>311</v>
      </c>
    </row>
    <row r="13" customFormat="false" ht="15" hidden="false" customHeight="false" outlineLevel="0" collapsed="false">
      <c r="A13" s="5" t="s">
        <v>318</v>
      </c>
      <c r="B13" s="6" t="s">
        <v>319</v>
      </c>
      <c r="C13" s="15" t="n">
        <f aca="false">AVERAGE(Проходы!T38:T61)</f>
        <v>0.00175491600280542</v>
      </c>
      <c r="D13" s="6" t="s">
        <v>75</v>
      </c>
      <c r="E13" s="6" t="s">
        <v>320</v>
      </c>
    </row>
    <row r="14" customFormat="false" ht="15" hidden="false" customHeight="false" outlineLevel="0" collapsed="false">
      <c r="A14" s="5" t="s">
        <v>321</v>
      </c>
      <c r="B14" s="6" t="s">
        <v>322</v>
      </c>
      <c r="C14" s="16" t="n">
        <v>0</v>
      </c>
      <c r="D14" s="6" t="s">
        <v>75</v>
      </c>
      <c r="E14" s="6" t="s">
        <v>323</v>
      </c>
    </row>
    <row r="15" customFormat="false" ht="15" hidden="false" customHeight="false" outlineLevel="0" collapsed="false">
      <c r="A15" s="5" t="s">
        <v>324</v>
      </c>
      <c r="B15" s="6" t="s">
        <v>325</v>
      </c>
      <c r="C15" s="16" t="n">
        <v>0.032418</v>
      </c>
      <c r="D15" s="6" t="s">
        <v>75</v>
      </c>
      <c r="E15" s="6" t="s">
        <v>326</v>
      </c>
    </row>
    <row r="16" customFormat="false" ht="15" hidden="false" customHeight="false" outlineLevel="0" collapsed="false">
      <c r="A16" s="5" t="s">
        <v>327</v>
      </c>
      <c r="B16" s="6" t="s">
        <v>328</v>
      </c>
      <c r="C16" s="16" t="n">
        <v>32.194</v>
      </c>
      <c r="D16" s="6" t="s">
        <v>329</v>
      </c>
      <c r="E16" s="6" t="s">
        <v>60</v>
      </c>
    </row>
    <row r="17" customFormat="false" ht="15" hidden="false" customHeight="false" outlineLevel="0" collapsed="false">
      <c r="A17" s="5" t="s">
        <v>330</v>
      </c>
      <c r="B17" s="6" t="s">
        <v>331</v>
      </c>
      <c r="C17" s="16" t="n">
        <v>2.9974</v>
      </c>
      <c r="D17" s="6" t="s">
        <v>66</v>
      </c>
      <c r="E17" s="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10"/>
  </cols>
  <sheetData>
    <row r="1" customFormat="false" ht="45" hidden="false" customHeight="true" outlineLevel="0" collapsed="false">
      <c r="A1" s="4" t="s">
        <v>240</v>
      </c>
      <c r="B1" s="4" t="s">
        <v>253</v>
      </c>
      <c r="C1" s="4" t="s">
        <v>252</v>
      </c>
      <c r="D1" s="4" t="s">
        <v>332</v>
      </c>
      <c r="E1" s="4" t="s">
        <v>249</v>
      </c>
      <c r="F1" s="4" t="s">
        <v>333</v>
      </c>
      <c r="G1" s="4" t="s">
        <v>334</v>
      </c>
      <c r="H1" s="4" t="s">
        <v>258</v>
      </c>
      <c r="I1" s="4" t="s">
        <v>335</v>
      </c>
      <c r="J1" s="4" t="s">
        <v>336</v>
      </c>
      <c r="K1" s="4" t="s">
        <v>259</v>
      </c>
      <c r="L1" s="4" t="s">
        <v>257</v>
      </c>
    </row>
    <row r="2" customFormat="false" ht="15" hidden="false" customHeight="false" outlineLevel="0" collapsed="false">
      <c r="A2" s="6" t="s">
        <v>268</v>
      </c>
      <c r="B2" s="6" t="n">
        <v>0.08</v>
      </c>
      <c r="C2" s="6" t="n">
        <v>3.6</v>
      </c>
      <c r="D2" s="6" t="n">
        <f aca="false">COUNTIFS(Проходы!$A$6:$A$61,$A2,Проходы!$F$6:$F$61,$B2,Проходы!$G$6:$G$61,$C2,Проходы!$E$6:$E$61,"рабочий")</f>
        <v>3</v>
      </c>
      <c r="E2" s="12" t="n">
        <f aca="false">AVERAGEIFS(Проходы!$J$6:$J$61,Проходы!$A$6:$A$61,$A2,Проходы!$F$6:$F$61,$B2,Проходы!$G$6:$G$61,$C2,Проходы!$E$6:$E$61,"рабочий")</f>
        <v>7.4258</v>
      </c>
      <c r="F2" s="12" t="n">
        <f aca="false">SQRT(SUMPRODUCT((Проходы!$A$6:$A$61=$A2)*(Проходы!$F$6:$F$61=$B2)*(Проходы!$G$6:$G$61=$C2)*(Проходы!$E$6:$E$61="рабочий")*(Проходы!$J$6:$J$61-E2)^2)/(D2-1))</f>
        <v>0.253193147616597</v>
      </c>
      <c r="G2" s="12" t="n">
        <f aca="false">TINV(0.05,D2-1)*F2/SQRT(D2)</f>
        <v>0.628966646351157</v>
      </c>
      <c r="H2" s="12" t="n">
        <f aca="false">AVERAGEIFS(Проходы!$S$6:$S$61,Проходы!$A$6:$A$61,$A2,Проходы!$F$6:$F$61,$B2,Проходы!$G$6:$G$61,$C2,Проходы!$E$6:$E$61,"рабочий")</f>
        <v>17.135508036104</v>
      </c>
      <c r="I2" s="12" t="n">
        <f aca="false">SQRT(SUMPRODUCT((Проходы!$A$6:$A$61=$A2)*(Проходы!$F$6:$F$61=$B2)*(Проходы!$G$6:$G$61=$C2)*(Проходы!$E$6:$E$61="рабочий")*(Проходы!$S$6:$S$61-H2)^2)/(D2-1))</f>
        <v>0.637606357435771</v>
      </c>
      <c r="J2" s="12" t="n">
        <f aca="false">TINV(0.05,D2-1)*I2/SQRT(D2)</f>
        <v>1.58390199775796</v>
      </c>
      <c r="K2" s="11" t="n">
        <f aca="false">IFERROR(AVERAGEIFS(Проходы!$T$6:$T$61,Проходы!$A$6:$A$61,$A2,Проходы!$F$6:$F$61,$B2,Проходы!$G$6:$G$61,$C2,Проходы!$E$6:$E$61,"рабочий"),"–")</f>
        <v>0.0607683642623339</v>
      </c>
      <c r="L2" s="11" t="n">
        <f aca="false">AVERAGEIFS(Проходы!$R$6:$R$61,Проходы!$A$6:$A$61,$A2,Проходы!$F$6:$F$61,$B2,Проходы!$G$6:$G$61,$C2,Проходы!$E$6:$E$61,"рабочий")</f>
        <v>0.433399133333333</v>
      </c>
    </row>
    <row r="3" customFormat="false" ht="15" hidden="false" customHeight="false" outlineLevel="0" collapsed="false">
      <c r="A3" s="6" t="s">
        <v>268</v>
      </c>
      <c r="B3" s="6" t="n">
        <v>0.08</v>
      </c>
      <c r="C3" s="6" t="n">
        <v>4.5</v>
      </c>
      <c r="D3" s="6" t="n">
        <f aca="false">COUNTIFS(Проходы!$A$6:$A$61,$A3,Проходы!$F$6:$F$61,$B3,Проходы!$G$6:$G$61,$C3,Проходы!$E$6:$E$61,"рабочий")</f>
        <v>3</v>
      </c>
      <c r="E3" s="12" t="n">
        <f aca="false">AVERAGEIFS(Проходы!$J$6:$J$61,Проходы!$A$6:$A$61,$A3,Проходы!$F$6:$F$61,$B3,Проходы!$G$6:$G$61,$C3,Проходы!$E$6:$E$61,"рабочий")</f>
        <v>9.38143333333333</v>
      </c>
      <c r="F3" s="12" t="n">
        <f aca="false">SQRT(SUMPRODUCT((Проходы!$A$6:$A$61=$A3)*(Проходы!$F$6:$F$61=$B3)*(Проходы!$G$6:$G$61=$C3)*(Проходы!$E$6:$E$61="рабочий")*(Проходы!$J$6:$J$61-E3)^2)/(D3-1))</f>
        <v>0.185188669559812</v>
      </c>
      <c r="G3" s="12" t="n">
        <f aca="false">TINV(0.05,D3-1)*F3/SQRT(D3)</f>
        <v>0.460034157842399</v>
      </c>
      <c r="H3" s="12" t="n">
        <f aca="false">AVERAGEIFS(Проходы!$S$6:$S$61,Проходы!$A$6:$A$61,$A3,Проходы!$F$6:$F$61,$B3,Проходы!$G$6:$G$61,$C3,Проходы!$E$6:$E$61,"рабочий")</f>
        <v>17.3058142501991</v>
      </c>
      <c r="I3" s="12" t="n">
        <f aca="false">SQRT(SUMPRODUCT((Проходы!$A$6:$A$61=$A3)*(Проходы!$F$6:$F$61=$B3)*(Проходы!$G$6:$G$61=$C3)*(Проходы!$E$6:$E$61="рабочий")*(Проходы!$S$6:$S$61-H3)^2)/(D3-1))</f>
        <v>0.382830579626933</v>
      </c>
      <c r="J3" s="12" t="n">
        <f aca="false">TINV(0.05,D3-1)*I3/SQRT(D3)</f>
        <v>0.951003880062503</v>
      </c>
      <c r="K3" s="11" t="n">
        <f aca="false">IFERROR(AVERAGEIFS(Проходы!$T$6:$T$61,Проходы!$A$6:$A$61,$A3,Проходы!$F$6:$F$61,$B3,Проходы!$G$6:$G$61,$C3,Проходы!$E$6:$E$61,"рабочий"),"–")</f>
        <v>0.0626760648644754</v>
      </c>
      <c r="L3" s="11" t="n">
        <f aca="false">AVERAGEIFS(Проходы!$R$6:$R$61,Проходы!$A$6:$A$61,$A3,Проходы!$F$6:$F$61,$B3,Проходы!$G$6:$G$61,$C3,Проходы!$E$6:$E$61,"рабочий")</f>
        <v>0.542116966666667</v>
      </c>
    </row>
    <row r="4" customFormat="false" ht="15" hidden="false" customHeight="false" outlineLevel="0" collapsed="false">
      <c r="A4" s="6" t="s">
        <v>268</v>
      </c>
      <c r="B4" s="6" t="n">
        <v>0.08</v>
      </c>
      <c r="C4" s="6" t="n">
        <v>5.4</v>
      </c>
      <c r="D4" s="6" t="n">
        <f aca="false">COUNTIFS(Проходы!$A$6:$A$61,$A4,Проходы!$F$6:$F$61,$B4,Проходы!$G$6:$G$61,$C4,Проходы!$E$6:$E$61,"рабочий")</f>
        <v>3</v>
      </c>
      <c r="E4" s="12" t="n">
        <f aca="false">AVERAGEIFS(Проходы!$J$6:$J$61,Проходы!$A$6:$A$61,$A4,Проходы!$F$6:$F$61,$B4,Проходы!$G$6:$G$61,$C4,Проходы!$E$6:$E$61,"рабочий")</f>
        <v>11.7325333333333</v>
      </c>
      <c r="F4" s="12" t="n">
        <f aca="false">SQRT(SUMPRODUCT((Проходы!$A$6:$A$61=$A4)*(Проходы!$F$6:$F$61=$B4)*(Проходы!$G$6:$G$61=$C4)*(Проходы!$E$6:$E$61="рабочий")*(Проходы!$J$6:$J$61-E4)^2)/(D4-1))</f>
        <v>0.276344066940713</v>
      </c>
      <c r="G4" s="12" t="n">
        <f aca="false">TINV(0.05,D4-1)*F4/SQRT(D4)</f>
        <v>0.686476718105884</v>
      </c>
      <c r="H4" s="12" t="n">
        <f aca="false">AVERAGEIFS(Проходы!$S$6:$S$61,Проходы!$A$6:$A$61,$A4,Проходы!$F$6:$F$61,$B4,Проходы!$G$6:$G$61,$C4,Проходы!$E$6:$E$61,"рабочий")</f>
        <v>18.0132555141906</v>
      </c>
      <c r="I4" s="12" t="n">
        <f aca="false">SQRT(SUMPRODUCT((Проходы!$A$6:$A$61=$A4)*(Проходы!$F$6:$F$61=$B4)*(Проходы!$G$6:$G$61=$C4)*(Проходы!$E$6:$E$61="рабочий")*(Проходы!$S$6:$S$61-H4)^2)/(D4-1))</f>
        <v>0.55814151967137</v>
      </c>
      <c r="J4" s="12" t="n">
        <f aca="false">TINV(0.05,D4-1)*I4/SQRT(D4)</f>
        <v>1.38650039750929</v>
      </c>
      <c r="K4" s="11" t="n">
        <f aca="false">IFERROR(AVERAGEIFS(Проходы!$T$6:$T$61,Проходы!$A$6:$A$61,$A4,Проходы!$F$6:$F$61,$B4,Проходы!$G$6:$G$61,$C4,Проходы!$E$6:$E$61,"рабочий"),"–")</f>
        <v>0.0600361975240285</v>
      </c>
      <c r="L4" s="11" t="n">
        <f aca="false">AVERAGEIFS(Проходы!$R$6:$R$61,Проходы!$A$6:$A$61,$A4,Проходы!$F$6:$F$61,$B4,Проходы!$G$6:$G$61,$C4,Проходы!$E$6:$E$61,"рабочий")</f>
        <v>0.651426633333333</v>
      </c>
    </row>
    <row r="5" customFormat="false" ht="15" hidden="false" customHeight="false" outlineLevel="0" collapsed="false">
      <c r="A5" s="6" t="s">
        <v>268</v>
      </c>
      <c r="B5" s="6" t="n">
        <v>0.11</v>
      </c>
      <c r="C5" s="6" t="n">
        <v>3.6</v>
      </c>
      <c r="D5" s="6" t="n">
        <f aca="false">COUNTIFS(Проходы!$A$6:$A$61,$A5,Проходы!$F$6:$F$61,$B5,Проходы!$G$6:$G$61,$C5,Проходы!$E$6:$E$61,"рабочий")</f>
        <v>3</v>
      </c>
      <c r="E5" s="12" t="n">
        <f aca="false">AVERAGEIFS(Проходы!$J$6:$J$61,Проходы!$A$6:$A$61,$A5,Проходы!$F$6:$F$61,$B5,Проходы!$G$6:$G$61,$C5,Проходы!$E$6:$E$61,"рабочий")</f>
        <v>9.83313333333333</v>
      </c>
      <c r="F5" s="12" t="n">
        <f aca="false">SQRT(SUMPRODUCT((Проходы!$A$6:$A$61=$A5)*(Проходы!$F$6:$F$61=$B5)*(Проходы!$G$6:$G$61=$C5)*(Проходы!$E$6:$E$61="рабочий")*(Проходы!$J$6:$J$61-E5)^2)/(D5-1))</f>
        <v>0.260206097801979</v>
      </c>
      <c r="G5" s="12" t="n">
        <f aca="false">TINV(0.05,D5-1)*F5/SQRT(D5)</f>
        <v>0.646387780377291</v>
      </c>
      <c r="H5" s="12" t="n">
        <f aca="false">AVERAGEIFS(Проходы!$S$6:$S$61,Проходы!$A$6:$A$61,$A5,Проходы!$F$6:$F$61,$B5,Проходы!$G$6:$G$61,$C5,Проходы!$E$6:$E$61,"рабочий")</f>
        <v>22.8228712510266</v>
      </c>
      <c r="I5" s="12" t="n">
        <f aca="false">SQRT(SUMPRODUCT((Проходы!$A$6:$A$61=$A5)*(Проходы!$F$6:$F$61=$B5)*(Проходы!$G$6:$G$61=$C5)*(Проходы!$E$6:$E$61="рабочий")*(Проходы!$S$6:$S$61-H5)^2)/(D5-1))</f>
        <v>0.647932172327531</v>
      </c>
      <c r="J5" s="12" t="n">
        <f aca="false">TINV(0.05,D5-1)*I5/SQRT(D5)</f>
        <v>1.60955274393513</v>
      </c>
      <c r="K5" s="11" t="n">
        <f aca="false">IFERROR(AVERAGEIFS(Проходы!$T$6:$T$61,Проходы!$A$6:$A$61,$A5,Проходы!$F$6:$F$61,$B5,Проходы!$G$6:$G$61,$C5,Проходы!$E$6:$E$61,"рабочий"),"–")</f>
        <v>0.0951962944428694</v>
      </c>
      <c r="L5" s="11" t="n">
        <f aca="false">AVERAGEIFS(Проходы!$R$6:$R$61,Проходы!$A$6:$A$61,$A5,Проходы!$F$6:$F$61,$B5,Проходы!$G$6:$G$61,$C5,Проходы!$E$6:$E$61,"рабочий")</f>
        <v>0.430862366666667</v>
      </c>
    </row>
    <row r="6" customFormat="false" ht="15" hidden="false" customHeight="false" outlineLevel="0" collapsed="false">
      <c r="A6" s="6" t="s">
        <v>268</v>
      </c>
      <c r="B6" s="6" t="n">
        <v>0.11</v>
      </c>
      <c r="C6" s="6" t="n">
        <v>4.5</v>
      </c>
      <c r="D6" s="6" t="n">
        <f aca="false">COUNTIFS(Проходы!$A$6:$A$61,$A6,Проходы!$F$6:$F$61,$B6,Проходы!$G$6:$G$61,$C6,Проходы!$E$6:$E$61,"рабочий")</f>
        <v>3</v>
      </c>
      <c r="E6" s="12" t="n">
        <f aca="false">AVERAGEIFS(Проходы!$J$6:$J$61,Проходы!$A$6:$A$61,$A6,Проходы!$F$6:$F$61,$B6,Проходы!$G$6:$G$61,$C6,Проходы!$E$6:$E$61,"рабочий")</f>
        <v>12.0427</v>
      </c>
      <c r="F6" s="12" t="n">
        <f aca="false">SQRT(SUMPRODUCT((Проходы!$A$6:$A$61=$A6)*(Проходы!$F$6:$F$61=$B6)*(Проходы!$G$6:$G$61=$C6)*(Проходы!$E$6:$E$61="рабочий")*(Проходы!$J$6:$J$61-E6)^2)/(D6-1))</f>
        <v>0.0433729178174584</v>
      </c>
      <c r="G6" s="12" t="n">
        <f aca="false">TINV(0.05,D6-1)*F6/SQRT(D6)</f>
        <v>0.107744300818996</v>
      </c>
      <c r="H6" s="12" t="n">
        <f aca="false">AVERAGEIFS(Проходы!$S$6:$S$61,Проходы!$A$6:$A$61,$A6,Проходы!$F$6:$F$61,$B6,Проходы!$G$6:$G$61,$C6,Проходы!$E$6:$E$61,"рабочий")</f>
        <v>22.3546771079961</v>
      </c>
      <c r="I6" s="12" t="n">
        <f aca="false">SQRT(SUMPRODUCT((Проходы!$A$6:$A$61=$A6)*(Проходы!$F$6:$F$61=$B6)*(Проходы!$G$6:$G$61=$C6)*(Проходы!$E$6:$E$61="рабочий")*(Проходы!$S$6:$S$61-H6)^2)/(D6-1))</f>
        <v>0.1193917622733</v>
      </c>
      <c r="J6" s="12" t="n">
        <f aca="false">TINV(0.05,D6-1)*I6/SQRT(D6)</f>
        <v>0.296585579135436</v>
      </c>
      <c r="K6" s="11" t="n">
        <f aca="false">IFERROR(AVERAGEIFS(Проходы!$T$6:$T$61,Проходы!$A$6:$A$61,$A6,Проходы!$F$6:$F$61,$B6,Проходы!$G$6:$G$61,$C6,Проходы!$E$6:$E$61,"рабочий"),"–")</f>
        <v>0.0876514427541995</v>
      </c>
      <c r="L6" s="11" t="n">
        <f aca="false">AVERAGEIFS(Проходы!$R$6:$R$61,Проходы!$A$6:$A$61,$A6,Проходы!$F$6:$F$61,$B6,Проходы!$G$6:$G$61,$C6,Проходы!$E$6:$E$61,"рабочий")</f>
        <v>0.538718633333333</v>
      </c>
    </row>
    <row r="7" customFormat="false" ht="15" hidden="false" customHeight="false" outlineLevel="0" collapsed="false">
      <c r="A7" s="6" t="s">
        <v>268</v>
      </c>
      <c r="B7" s="6" t="n">
        <v>0.11</v>
      </c>
      <c r="C7" s="6" t="n">
        <v>5.4</v>
      </c>
      <c r="D7" s="6" t="n">
        <f aca="false">COUNTIFS(Проходы!$A$6:$A$61,$A7,Проходы!$F$6:$F$61,$B7,Проходы!$G$6:$G$61,$C7,Проходы!$E$6:$E$61,"рабочий")</f>
        <v>3</v>
      </c>
      <c r="E7" s="12" t="n">
        <f aca="false">AVERAGEIFS(Проходы!$J$6:$J$61,Проходы!$A$6:$A$61,$A7,Проходы!$F$6:$F$61,$B7,Проходы!$G$6:$G$61,$C7,Проходы!$E$6:$E$61,"рабочий")</f>
        <v>15.4264666666667</v>
      </c>
      <c r="F7" s="12" t="n">
        <f aca="false">SQRT(SUMPRODUCT((Проходы!$A$6:$A$61=$A7)*(Проходы!$F$6:$F$61=$B7)*(Проходы!$G$6:$G$61=$C7)*(Проходы!$E$6:$E$61="рабочий")*(Проходы!$J$6:$J$61-E7)^2)/(D7-1))</f>
        <v>0.153089298559152</v>
      </c>
      <c r="G7" s="12" t="n">
        <f aca="false">TINV(0.05,D7-1)*F7/SQRT(D7)</f>
        <v>0.380294899816195</v>
      </c>
      <c r="H7" s="12" t="n">
        <f aca="false">AVERAGEIFS(Проходы!$S$6:$S$61,Проходы!$A$6:$A$61,$A7,Проходы!$F$6:$F$61,$B7,Проходы!$G$6:$G$61,$C7,Проходы!$E$6:$E$61,"рабочий")</f>
        <v>23.8465660719569</v>
      </c>
      <c r="I7" s="12" t="n">
        <f aca="false">SQRT(SUMPRODUCT((Проходы!$A$6:$A$61=$A7)*(Проходы!$F$6:$F$61=$B7)*(Проходы!$G$6:$G$61=$C7)*(Проходы!$E$6:$E$61="рабочий")*(Проходы!$S$6:$S$61-H7)^2)/(D7-1))</f>
        <v>0.45081681665849</v>
      </c>
      <c r="J7" s="12" t="n">
        <f aca="false">TINV(0.05,D7-1)*I7/SQRT(D7)</f>
        <v>1.11989105535259</v>
      </c>
      <c r="K7" s="11" t="n">
        <f aca="false">IFERROR(AVERAGEIFS(Проходы!$T$6:$T$61,Проходы!$A$6:$A$61,$A7,Проходы!$F$6:$F$61,$B7,Проходы!$G$6:$G$61,$C7,Проходы!$E$6:$E$61,"рабочий"),"–")</f>
        <v>0.102900105668878</v>
      </c>
      <c r="L7" s="11" t="n">
        <f aca="false">AVERAGEIFS(Проходы!$R$6:$R$61,Проходы!$A$6:$A$61,$A7,Проходы!$F$6:$F$61,$B7,Проходы!$G$6:$G$61,$C7,Проходы!$E$6:$E$61,"рабочий")</f>
        <v>0.646982</v>
      </c>
    </row>
    <row r="8" customFormat="false" ht="15" hidden="false" customHeight="false" outlineLevel="0" collapsed="false">
      <c r="A8" s="6" t="s">
        <v>268</v>
      </c>
      <c r="B8" s="6" t="n">
        <v>0.14</v>
      </c>
      <c r="C8" s="6" t="n">
        <v>3.6</v>
      </c>
      <c r="D8" s="6" t="n">
        <f aca="false">COUNTIFS(Проходы!$A$6:$A$61,$A8,Проходы!$F$6:$F$61,$B8,Проходы!$G$6:$G$61,$C8,Проходы!$E$6:$E$61,"рабочий")</f>
        <v>3</v>
      </c>
      <c r="E8" s="12" t="n">
        <f aca="false">AVERAGEIFS(Проходы!$J$6:$J$61,Проходы!$A$6:$A$61,$A8,Проходы!$F$6:$F$61,$B8,Проходы!$G$6:$G$61,$C8,Проходы!$E$6:$E$61,"рабочий")</f>
        <v>12.0999</v>
      </c>
      <c r="F8" s="12" t="n">
        <f aca="false">SQRT(SUMPRODUCT((Проходы!$A$6:$A$61=$A8)*(Проходы!$F$6:$F$61=$B8)*(Проходы!$G$6:$G$61=$C8)*(Проходы!$E$6:$E$61="рабочий")*(Проходы!$J$6:$J$61-E8)^2)/(D8-1))</f>
        <v>0.149453036101646</v>
      </c>
      <c r="G8" s="12" t="n">
        <f aca="false">TINV(0.05,D8-1)*F8/SQRT(D8)</f>
        <v>0.371261923115683</v>
      </c>
      <c r="H8" s="12" t="n">
        <f aca="false">AVERAGEIFS(Проходы!$S$6:$S$61,Проходы!$A$6:$A$61,$A8,Проходы!$F$6:$F$61,$B8,Проходы!$G$6:$G$61,$C8,Проходы!$E$6:$E$61,"рабочий")</f>
        <v>28.1031372767052</v>
      </c>
      <c r="I8" s="12" t="n">
        <f aca="false">SQRT(SUMPRODUCT((Проходы!$A$6:$A$61=$A8)*(Проходы!$F$6:$F$61=$B8)*(Проходы!$G$6:$G$61=$C8)*(Проходы!$E$6:$E$61="рабочий")*(Проходы!$S$6:$S$61-H8)^2)/(D8-1))</f>
        <v>0.287858008235339</v>
      </c>
      <c r="J8" s="12" t="n">
        <f aca="false">TINV(0.05,D8-1)*I8/SQRT(D8)</f>
        <v>0.715078933886742</v>
      </c>
      <c r="K8" s="11" t="n">
        <f aca="false">IFERROR(AVERAGEIFS(Проходы!$T$6:$T$61,Проходы!$A$6:$A$61,$A8,Проходы!$F$6:$F$61,$B8,Проходы!$G$6:$G$61,$C8,Проходы!$E$6:$E$61,"рабочий"),"–")</f>
        <v>0.132439432702518</v>
      </c>
      <c r="L8" s="11" t="n">
        <f aca="false">AVERAGEIFS(Проходы!$R$6:$R$61,Проходы!$A$6:$A$61,$A8,Проходы!$F$6:$F$61,$B8,Проходы!$G$6:$G$61,$C8,Проходы!$E$6:$E$61,"рабочий")</f>
        <v>0.430566666666667</v>
      </c>
    </row>
    <row r="9" customFormat="false" ht="15" hidden="false" customHeight="false" outlineLevel="0" collapsed="false">
      <c r="A9" s="6" t="s">
        <v>268</v>
      </c>
      <c r="B9" s="6" t="n">
        <v>0.14</v>
      </c>
      <c r="C9" s="6" t="n">
        <v>4.5</v>
      </c>
      <c r="D9" s="6" t="n">
        <f aca="false">COUNTIFS(Проходы!$A$6:$A$61,$A9,Проходы!$F$6:$F$61,$B9,Проходы!$G$6:$G$61,$C9,Проходы!$E$6:$E$61,"рабочий")</f>
        <v>3</v>
      </c>
      <c r="E9" s="12" t="n">
        <f aca="false">AVERAGEIFS(Проходы!$J$6:$J$61,Проходы!$A$6:$A$61,$A9,Проходы!$F$6:$F$61,$B9,Проходы!$G$6:$G$61,$C9,Проходы!$E$6:$E$61,"рабочий")</f>
        <v>15.5144</v>
      </c>
      <c r="F9" s="12" t="n">
        <f aca="false">SQRT(SUMPRODUCT((Проходы!$A$6:$A$61=$A9)*(Проходы!$F$6:$F$61=$B9)*(Проходы!$G$6:$G$61=$C9)*(Проходы!$E$6:$E$61="рабочий")*(Проходы!$J$6:$J$61-E9)^2)/(D9-1))</f>
        <v>0.548142691276642</v>
      </c>
      <c r="G9" s="12" t="n">
        <f aca="false">TINV(0.05,D9-1)*F9/SQRT(D9)</f>
        <v>1.36166193082063</v>
      </c>
      <c r="H9" s="12" t="n">
        <f aca="false">AVERAGEIFS(Проходы!$S$6:$S$61,Проходы!$A$6:$A$61,$A9,Проходы!$F$6:$F$61,$B9,Проходы!$G$6:$G$61,$C9,Проходы!$E$6:$E$61,"рабочий")</f>
        <v>29.0472238669979</v>
      </c>
      <c r="I9" s="12" t="n">
        <f aca="false">SQRT(SUMPRODUCT((Проходы!$A$6:$A$61=$A9)*(Проходы!$F$6:$F$61=$B9)*(Проходы!$G$6:$G$61=$C9)*(Проходы!$E$6:$E$61="рабочий")*(Проходы!$S$6:$S$61-H9)^2)/(D9-1))</f>
        <v>1.43896587680804</v>
      </c>
      <c r="J9" s="12" t="n">
        <f aca="false">TINV(0.05,D9-1)*I9/SQRT(D9)</f>
        <v>3.57458940050074</v>
      </c>
      <c r="K9" s="11" t="n">
        <f aca="false">IFERROR(AVERAGEIFS(Проходы!$T$6:$T$61,Проходы!$A$6:$A$61,$A9,Проходы!$F$6:$F$61,$B9,Проходы!$G$6:$G$61,$C9,Проходы!$E$6:$E$61,"рабочий"),"–")</f>
        <v>0.137193731332748</v>
      </c>
      <c r="L9" s="11" t="n">
        <f aca="false">AVERAGEIFS(Проходы!$R$6:$R$61,Проходы!$A$6:$A$61,$A9,Проходы!$F$6:$F$61,$B9,Проходы!$G$6:$G$61,$C9,Проходы!$E$6:$E$61,"рабочий")</f>
        <v>0.534368666666667</v>
      </c>
    </row>
    <row r="10" customFormat="false" ht="15" hidden="false" customHeight="false" outlineLevel="0" collapsed="false">
      <c r="A10" s="6" t="s">
        <v>273</v>
      </c>
      <c r="B10" s="6" t="n">
        <v>0.08</v>
      </c>
      <c r="C10" s="6" t="n">
        <v>1.8</v>
      </c>
      <c r="D10" s="6" t="n">
        <f aca="false">COUNTIFS(Проходы!$A$6:$A$61,$A10,Проходы!$F$6:$F$61,$B10,Проходы!$G$6:$G$61,$C10,Проходы!$E$6:$E$61,"рабочий")</f>
        <v>3</v>
      </c>
      <c r="E10" s="12" t="n">
        <f aca="false">AVERAGEIFS(Проходы!$J$6:$J$61,Проходы!$A$6:$A$61,$A10,Проходы!$F$6:$F$61,$B10,Проходы!$G$6:$G$61,$C10,Проходы!$E$6:$E$61,"рабочий")</f>
        <v>7.30303333333333</v>
      </c>
      <c r="F10" s="12" t="n">
        <f aca="false">SQRT(SUMPRODUCT((Проходы!$A$6:$A$61=$A10)*(Проходы!$F$6:$F$61=$B10)*(Проходы!$G$6:$G$61=$C10)*(Проходы!$E$6:$E$61="рабочий")*(Проходы!$J$6:$J$61-E10)^2)/(D10-1))</f>
        <v>0.133466562604022</v>
      </c>
      <c r="G10" s="12" t="n">
        <f aca="false">TINV(0.05,D10-1)*F10/SQRT(D10)</f>
        <v>0.331549321422337</v>
      </c>
      <c r="H10" s="12" t="n">
        <f aca="false">AVERAGEIFS(Проходы!$S$6:$S$61,Проходы!$A$6:$A$61,$A10,Проходы!$F$6:$F$61,$B10,Проходы!$G$6:$G$61,$C10,Проходы!$E$6:$E$61,"рабочий")</f>
        <v>32.7796605120897</v>
      </c>
      <c r="I10" s="12" t="n">
        <f aca="false">SQRT(SUMPRODUCT((Проходы!$A$6:$A$61=$A10)*(Проходы!$F$6:$F$61=$B10)*(Проходы!$G$6:$G$61=$C10)*(Проходы!$E$6:$E$61="рабочий")*(Проходы!$S$6:$S$61-H10)^2)/(D10-1))</f>
        <v>1.13111862973641</v>
      </c>
      <c r="J10" s="12" t="n">
        <f aca="false">TINV(0.05,D10-1)*I10/SQRT(D10)</f>
        <v>2.80985444459157</v>
      </c>
      <c r="K10" s="11" t="str">
        <f aca="false">IFERROR(AVERAGEIFS(Проходы!$T$6:$T$61,Проходы!$A$6:$A$61,$A10,Проходы!$F$6:$F$61,$B10,Проходы!$G$6:$G$61,$C10,Проходы!$E$6:$E$61,"рабочий"),"–")</f>
        <v>–</v>
      </c>
      <c r="L10" s="11" t="n">
        <f aca="false">AVERAGEIFS(Проходы!$R$6:$R$61,Проходы!$A$6:$A$61,$A10,Проходы!$F$6:$F$61,$B10,Проходы!$G$6:$G$61,$C10,Проходы!$E$6:$E$61,"рабочий")</f>
        <v>0.222885</v>
      </c>
    </row>
    <row r="11" customFormat="false" ht="15" hidden="false" customHeight="false" outlineLevel="0" collapsed="false">
      <c r="A11" s="6" t="s">
        <v>273</v>
      </c>
      <c r="B11" s="6" t="n">
        <v>0.08</v>
      </c>
      <c r="C11" s="6" t="n">
        <v>2.7</v>
      </c>
      <c r="D11" s="6" t="n">
        <f aca="false">COUNTIFS(Проходы!$A$6:$A$61,$A11,Проходы!$F$6:$F$61,$B11,Проходы!$G$6:$G$61,$C11,Проходы!$E$6:$E$61,"рабочий")</f>
        <v>3</v>
      </c>
      <c r="E11" s="12" t="n">
        <f aca="false">AVERAGEIFS(Проходы!$J$6:$J$61,Проходы!$A$6:$A$61,$A11,Проходы!$F$6:$F$61,$B11,Проходы!$G$6:$G$61,$C11,Проходы!$E$6:$E$61,"рабочий")</f>
        <v>9.78343333333333</v>
      </c>
      <c r="F11" s="12" t="n">
        <f aca="false">SQRT(SUMPRODUCT((Проходы!$A$6:$A$61=$A11)*(Проходы!$F$6:$F$61=$B11)*(Проходы!$G$6:$G$61=$C11)*(Проходы!$E$6:$E$61="рабочий")*(Проходы!$J$6:$J$61-E11)^2)/(D11-1))</f>
        <v>0.20759061475253</v>
      </c>
      <c r="G11" s="12" t="n">
        <f aca="false">TINV(0.05,D11-1)*F11/SQRT(D11)</f>
        <v>0.515683674712195</v>
      </c>
      <c r="H11" s="12" t="n">
        <f aca="false">AVERAGEIFS(Проходы!$S$6:$S$61,Проходы!$A$6:$A$61,$A11,Проходы!$F$6:$F$61,$B11,Проходы!$G$6:$G$61,$C11,Проходы!$E$6:$E$61,"рабочий")</f>
        <v>29.1518137306946</v>
      </c>
      <c r="I11" s="12" t="n">
        <f aca="false">SQRT(SUMPRODUCT((Проходы!$A$6:$A$61=$A11)*(Проходы!$F$6:$F$61=$B11)*(Проходы!$G$6:$G$61=$C11)*(Проходы!$E$6:$E$61="рабочий")*(Проходы!$S$6:$S$61-H11)^2)/(D11-1))</f>
        <v>0.480270735787597</v>
      </c>
      <c r="J11" s="12" t="n">
        <f aca="false">TINV(0.05,D11-1)*I11/SQRT(D11)</f>
        <v>1.19305864662005</v>
      </c>
      <c r="K11" s="11" t="n">
        <f aca="false">IFERROR(AVERAGEIFS(Проходы!$T$6:$T$61,Проходы!$A$6:$A$61,$A11,Проходы!$F$6:$F$61,$B11,Проходы!$G$6:$G$61,$C11,Проходы!$E$6:$E$61,"рабочий"),"–")</f>
        <v>0.00410124861962698</v>
      </c>
      <c r="L11" s="11" t="n">
        <f aca="false">AVERAGEIFS(Проходы!$R$6:$R$61,Проходы!$A$6:$A$61,$A11,Проходы!$F$6:$F$61,$B11,Проходы!$G$6:$G$61,$C11,Проходы!$E$6:$E$61,"рабочий")</f>
        <v>0.335585866666667</v>
      </c>
    </row>
    <row r="12" customFormat="false" ht="15" hidden="false" customHeight="false" outlineLevel="0" collapsed="false">
      <c r="A12" s="6" t="s">
        <v>273</v>
      </c>
      <c r="B12" s="6" t="n">
        <v>0.08</v>
      </c>
      <c r="C12" s="6" t="n">
        <v>3.6</v>
      </c>
      <c r="D12" s="6" t="n">
        <f aca="false">COUNTIFS(Проходы!$A$6:$A$61,$A12,Проходы!$F$6:$F$61,$B12,Проходы!$G$6:$G$61,$C12,Проходы!$E$6:$E$61,"рабочий")</f>
        <v>3</v>
      </c>
      <c r="E12" s="12" t="n">
        <f aca="false">AVERAGEIFS(Проходы!$J$6:$J$61,Проходы!$A$6:$A$61,$A12,Проходы!$F$6:$F$61,$B12,Проходы!$G$6:$G$61,$C12,Проходы!$E$6:$E$61,"рабочий")</f>
        <v>11.9398333333333</v>
      </c>
      <c r="F12" s="12" t="n">
        <f aca="false">SQRT(SUMPRODUCT((Проходы!$A$6:$A$61=$A12)*(Проходы!$F$6:$F$61=$B12)*(Проходы!$G$6:$G$61=$C12)*(Проходы!$E$6:$E$61="рабочий")*(Проходы!$J$6:$J$61-E12)^2)/(D12-1))</f>
        <v>0.22982737724939</v>
      </c>
      <c r="G12" s="12" t="n">
        <f aca="false">TINV(0.05,D12-1)*F12/SQRT(D12)</f>
        <v>0.570922855017881</v>
      </c>
      <c r="H12" s="12" t="n">
        <f aca="false">AVERAGEIFS(Проходы!$S$6:$S$61,Проходы!$A$6:$A$61,$A12,Проходы!$F$6:$F$61,$B12,Проходы!$G$6:$G$61,$C12,Проходы!$E$6:$E$61,"рабочий")</f>
        <v>26.7202535917403</v>
      </c>
      <c r="I12" s="12" t="n">
        <f aca="false">SQRT(SUMPRODUCT((Проходы!$A$6:$A$61=$A12)*(Проходы!$F$6:$F$61=$B12)*(Проходы!$G$6:$G$61=$C12)*(Проходы!$E$6:$E$61="рабочий")*(Проходы!$S$6:$S$61-H12)^2)/(D12-1))</f>
        <v>0.475276980890705</v>
      </c>
      <c r="J12" s="12" t="n">
        <f aca="false">TINV(0.05,D12-1)*I12/SQRT(D12)</f>
        <v>1.18065347175744</v>
      </c>
      <c r="K12" s="11" t="str">
        <f aca="false">IFERROR(AVERAGEIFS(Проходы!$T$6:$T$61,Проходы!$A$6:$A$61,$A12,Проходы!$F$6:$F$61,$B12,Проходы!$G$6:$G$61,$C12,Проходы!$E$6:$E$61,"рабочий"),"–")</f>
        <v>–</v>
      </c>
      <c r="L12" s="11" t="n">
        <f aca="false">AVERAGEIFS(Проходы!$R$6:$R$61,Проходы!$A$6:$A$61,$A12,Проходы!$F$6:$F$61,$B12,Проходы!$G$6:$G$61,$C12,Проходы!$E$6:$E$61,"рабочий")</f>
        <v>0.446840633333333</v>
      </c>
    </row>
    <row r="13" customFormat="false" ht="15" hidden="false" customHeight="false" outlineLevel="0" collapsed="false">
      <c r="A13" s="6" t="s">
        <v>273</v>
      </c>
      <c r="B13" s="6" t="n">
        <v>0.12</v>
      </c>
      <c r="C13" s="6" t="n">
        <v>1.8</v>
      </c>
      <c r="D13" s="6" t="n">
        <f aca="false">COUNTIFS(Проходы!$A$6:$A$61,$A13,Проходы!$F$6:$F$61,$B13,Проходы!$G$6:$G$61,$C13,Проходы!$E$6:$E$61,"рабочий")</f>
        <v>3</v>
      </c>
      <c r="E13" s="12" t="n">
        <f aca="false">AVERAGEIFS(Проходы!$J$6:$J$61,Проходы!$A$6:$A$61,$A13,Проходы!$F$6:$F$61,$B13,Проходы!$G$6:$G$61,$C13,Проходы!$E$6:$E$61,"рабочий")</f>
        <v>9.93376666666667</v>
      </c>
      <c r="F13" s="12" t="n">
        <f aca="false">SQRT(SUMPRODUCT((Проходы!$A$6:$A$61=$A13)*(Проходы!$F$6:$F$61=$B13)*(Проходы!$G$6:$G$61=$C13)*(Проходы!$E$6:$E$61="рабочий")*(Проходы!$J$6:$J$61-E13)^2)/(D13-1))</f>
        <v>0.0482763226989521</v>
      </c>
      <c r="G13" s="12" t="n">
        <f aca="false">TINV(0.05,D13-1)*F13/SQRT(D13)</f>
        <v>0.119925033801096</v>
      </c>
      <c r="H13" s="12" t="n">
        <f aca="false">AVERAGEIFS(Проходы!$S$6:$S$61,Проходы!$A$6:$A$61,$A13,Проходы!$F$6:$F$61,$B13,Проходы!$G$6:$G$61,$C13,Проходы!$E$6:$E$61,"рабочий")</f>
        <v>44.3812340420426</v>
      </c>
      <c r="I13" s="12" t="n">
        <f aca="false">SQRT(SUMPRODUCT((Проходы!$A$6:$A$61=$A13)*(Проходы!$F$6:$F$61=$B13)*(Проходы!$G$6:$G$61=$C13)*(Проходы!$E$6:$E$61="рабочий")*(Проходы!$S$6:$S$61-H13)^2)/(D13-1))</f>
        <v>0.40078880958288</v>
      </c>
      <c r="J13" s="12" t="n">
        <f aca="false">TINV(0.05,D13-1)*I13/SQRT(D13)</f>
        <v>0.995614596332355</v>
      </c>
      <c r="K13" s="11" t="str">
        <f aca="false">IFERROR(AVERAGEIFS(Проходы!$T$6:$T$61,Проходы!$A$6:$A$61,$A13,Проходы!$F$6:$F$61,$B13,Проходы!$G$6:$G$61,$C13,Проходы!$E$6:$E$61,"рабочий"),"–")</f>
        <v>–</v>
      </c>
      <c r="L13" s="11" t="n">
        <f aca="false">AVERAGEIFS(Проходы!$R$6:$R$61,Проходы!$A$6:$A$61,$A13,Проходы!$F$6:$F$61,$B13,Проходы!$G$6:$G$61,$C13,Проходы!$E$6:$E$61,"рабочий")</f>
        <v>0.223833866666667</v>
      </c>
    </row>
    <row r="14" customFormat="false" ht="15" hidden="false" customHeight="false" outlineLevel="0" collapsed="false">
      <c r="A14" s="6" t="s">
        <v>273</v>
      </c>
      <c r="B14" s="6" t="n">
        <v>0.12</v>
      </c>
      <c r="C14" s="6" t="n">
        <v>2.7</v>
      </c>
      <c r="D14" s="6" t="n">
        <f aca="false">COUNTIFS(Проходы!$A$6:$A$61,$A14,Проходы!$F$6:$F$61,$B14,Проходы!$G$6:$G$61,$C14,Проходы!$E$6:$E$61,"рабочий")</f>
        <v>3</v>
      </c>
      <c r="E14" s="12" t="n">
        <f aca="false">AVERAGEIFS(Проходы!$J$6:$J$61,Проходы!$A$6:$A$61,$A14,Проходы!$F$6:$F$61,$B14,Проходы!$G$6:$G$61,$C14,Проходы!$E$6:$E$61,"рабочий")</f>
        <v>13.1602666666667</v>
      </c>
      <c r="F14" s="12" t="n">
        <f aca="false">SQRT(SUMPRODUCT((Проходы!$A$6:$A$61=$A14)*(Проходы!$F$6:$F$61=$B14)*(Проходы!$G$6:$G$61=$C14)*(Проходы!$E$6:$E$61="рабочий")*(Проходы!$J$6:$J$61-E14)^2)/(D14-1))</f>
        <v>0.383664076156908</v>
      </c>
      <c r="G14" s="12" t="n">
        <f aca="false">TINV(0.05,D14-1)*F14/SQRT(D14)</f>
        <v>0.953074400225225</v>
      </c>
      <c r="H14" s="12" t="n">
        <f aca="false">AVERAGEIFS(Проходы!$S$6:$S$61,Проходы!$A$6:$A$61,$A14,Проходы!$F$6:$F$61,$B14,Проходы!$G$6:$G$61,$C14,Проходы!$E$6:$E$61,"рабочий")</f>
        <v>39.380689283364</v>
      </c>
      <c r="I14" s="12" t="n">
        <f aca="false">SQRT(SUMPRODUCT((Проходы!$A$6:$A$61=$A14)*(Проходы!$F$6:$F$61=$B14)*(Проходы!$G$6:$G$61=$C14)*(Проходы!$E$6:$E$61="рабочий")*(Проходы!$S$6:$S$61-H14)^2)/(D14-1))</f>
        <v>1.05790593142087</v>
      </c>
      <c r="J14" s="12" t="n">
        <f aca="false">TINV(0.05,D14-1)*I14/SQRT(D14)</f>
        <v>2.62798401972695</v>
      </c>
      <c r="K14" s="11" t="n">
        <f aca="false">IFERROR(AVERAGEIFS(Проходы!$T$6:$T$61,Проходы!$A$6:$A$61,$A14,Проходы!$F$6:$F$61,$B14,Проходы!$G$6:$G$61,$C14,Проходы!$E$6:$E$61,"рабочий"),"–")</f>
        <v>0.00397923033071231</v>
      </c>
      <c r="L14" s="11" t="n">
        <f aca="false">AVERAGEIFS(Проходы!$R$6:$R$61,Проходы!$A$6:$A$61,$A14,Проходы!$F$6:$F$61,$B14,Проходы!$G$6:$G$61,$C14,Проходы!$E$6:$E$61,"рабочий")</f>
        <v>0.3341694</v>
      </c>
    </row>
    <row r="15" customFormat="false" ht="15" hidden="false" customHeight="false" outlineLevel="0" collapsed="false">
      <c r="A15" s="6" t="s">
        <v>273</v>
      </c>
      <c r="B15" s="6" t="n">
        <v>0.12</v>
      </c>
      <c r="C15" s="6" t="n">
        <v>3.6</v>
      </c>
      <c r="D15" s="6" t="n">
        <f aca="false">COUNTIFS(Проходы!$A$6:$A$61,$A15,Проходы!$F$6:$F$61,$B15,Проходы!$G$6:$G$61,$C15,Проходы!$E$6:$E$61,"рабочий")</f>
        <v>3</v>
      </c>
      <c r="E15" s="12" t="n">
        <f aca="false">AVERAGEIFS(Проходы!$J$6:$J$61,Проходы!$A$6:$A$61,$A15,Проходы!$F$6:$F$61,$B15,Проходы!$G$6:$G$61,$C15,Проходы!$E$6:$E$61,"рабочий")</f>
        <v>16.4844333333333</v>
      </c>
      <c r="F15" s="12" t="n">
        <f aca="false">SQRT(SUMPRODUCT((Проходы!$A$6:$A$61=$A15)*(Проходы!$F$6:$F$61=$B15)*(Проходы!$G$6:$G$61=$C15)*(Проходы!$E$6:$E$61="рабочий")*(Проходы!$J$6:$J$61-E15)^2)/(D15-1))</f>
        <v>0.17284548976856</v>
      </c>
      <c r="G15" s="12" t="n">
        <f aca="false">TINV(0.05,D15-1)*F15/SQRT(D15)</f>
        <v>0.429371999440036</v>
      </c>
      <c r="H15" s="12" t="n">
        <f aca="false">AVERAGEIFS(Проходы!$S$6:$S$61,Проходы!$A$6:$A$61,$A15,Проходы!$F$6:$F$61,$B15,Проходы!$G$6:$G$61,$C15,Проходы!$E$6:$E$61,"рабочий")</f>
        <v>36.4976336963532</v>
      </c>
      <c r="I15" s="12" t="n">
        <f aca="false">SQRT(SUMPRODUCT((Проходы!$A$6:$A$61=$A15)*(Проходы!$F$6:$F$61=$B15)*(Проходы!$G$6:$G$61=$C15)*(Проходы!$E$6:$E$61="рабочий")*(Проходы!$S$6:$S$61-H15)^2)/(D15-1))</f>
        <v>0.576558545342805</v>
      </c>
      <c r="J15" s="12" t="n">
        <f aca="false">TINV(0.05,D15-1)*I15/SQRT(D15)</f>
        <v>1.43225082551798</v>
      </c>
      <c r="K15" s="11" t="str">
        <f aca="false">IFERROR(AVERAGEIFS(Проходы!$T$6:$T$61,Проходы!$A$6:$A$61,$A15,Проходы!$F$6:$F$61,$B15,Проходы!$G$6:$G$61,$C15,Проходы!$E$6:$E$61,"рабочий"),"–")</f>
        <v>–</v>
      </c>
      <c r="L15" s="11" t="n">
        <f aca="false">AVERAGEIFS(Проходы!$R$6:$R$61,Проходы!$A$6:$A$61,$A15,Проходы!$F$6:$F$61,$B15,Проходы!$G$6:$G$61,$C15,Проходы!$E$6:$E$61,"рабочий")</f>
        <v>0.451705</v>
      </c>
    </row>
    <row r="16" customFormat="false" ht="15" hidden="false" customHeight="false" outlineLevel="0" collapsed="false">
      <c r="A16" s="6" t="s">
        <v>273</v>
      </c>
      <c r="B16" s="6" t="n">
        <v>0.16</v>
      </c>
      <c r="C16" s="6" t="n">
        <v>1.8</v>
      </c>
      <c r="D16" s="6" t="n">
        <f aca="false">COUNTIFS(Проходы!$A$6:$A$61,$A16,Проходы!$F$6:$F$61,$B16,Проходы!$G$6:$G$61,$C16,Проходы!$E$6:$E$61,"рабочий")</f>
        <v>3</v>
      </c>
      <c r="E16" s="12" t="n">
        <f aca="false">AVERAGEIFS(Проходы!$J$6:$J$61,Проходы!$A$6:$A$61,$A16,Проходы!$F$6:$F$61,$B16,Проходы!$G$6:$G$61,$C16,Проходы!$E$6:$E$61,"рабочий")</f>
        <v>12.5186333333333</v>
      </c>
      <c r="F16" s="12" t="n">
        <f aca="false">SQRT(SUMPRODUCT((Проходы!$A$6:$A$61=$A16)*(Проходы!$F$6:$F$61=$B16)*(Проходы!$G$6:$G$61=$C16)*(Проходы!$E$6:$E$61="рабочий")*(Проходы!$J$6:$J$61-E16)^2)/(D16-1))</f>
        <v>0.0828108889780404</v>
      </c>
      <c r="G16" s="12" t="n">
        <f aca="false">TINV(0.05,D16-1)*F16/SQRT(D16)</f>
        <v>0.20571365225392</v>
      </c>
      <c r="H16" s="12" t="n">
        <f aca="false">AVERAGEIFS(Проходы!$S$6:$S$61,Проходы!$A$6:$A$61,$A16,Проходы!$F$6:$F$61,$B16,Проходы!$G$6:$G$61,$C16,Проходы!$E$6:$E$61,"рабочий")</f>
        <v>56.0175703163271</v>
      </c>
      <c r="I16" s="12" t="n">
        <f aca="false">SQRT(SUMPRODUCT((Проходы!$A$6:$A$61=$A16)*(Проходы!$F$6:$F$61=$B16)*(Проходы!$G$6:$G$61=$C16)*(Проходы!$E$6:$E$61="рабочий")*(Проходы!$S$6:$S$61-H16)^2)/(D16-1))</f>
        <v>0.478293946096196</v>
      </c>
      <c r="J16" s="12" t="n">
        <f aca="false">TINV(0.05,D16-1)*I16/SQRT(D16)</f>
        <v>1.18814802879944</v>
      </c>
      <c r="K16" s="11" t="str">
        <f aca="false">IFERROR(AVERAGEIFS(Проходы!$T$6:$T$61,Проходы!$A$6:$A$61,$A16,Проходы!$F$6:$F$61,$B16,Проходы!$G$6:$G$61,$C16,Проходы!$E$6:$E$61,"рабочий"),"–")</f>
        <v>–</v>
      </c>
      <c r="L16" s="11" t="n">
        <f aca="false">AVERAGEIFS(Проходы!$R$6:$R$61,Проходы!$A$6:$A$61,$A16,Проходы!$F$6:$F$61,$B16,Проходы!$G$6:$G$61,$C16,Проходы!$E$6:$E$61,"рабочий")</f>
        <v>0.2234815</v>
      </c>
    </row>
    <row r="17" customFormat="false" ht="15" hidden="false" customHeight="false" outlineLevel="0" collapsed="false">
      <c r="A17" s="6" t="s">
        <v>273</v>
      </c>
      <c r="B17" s="6" t="n">
        <v>0.16</v>
      </c>
      <c r="C17" s="6" t="n">
        <v>2.7</v>
      </c>
      <c r="D17" s="6" t="n">
        <f aca="false">COUNTIFS(Проходы!$A$6:$A$61,$A17,Проходы!$F$6:$F$61,$B17,Проходы!$G$6:$G$61,$C17,Проходы!$E$6:$E$61,"рабочий")</f>
        <v>3</v>
      </c>
      <c r="E17" s="12" t="n">
        <f aca="false">AVERAGEIFS(Проходы!$J$6:$J$61,Проходы!$A$6:$A$61,$A17,Проходы!$F$6:$F$61,$B17,Проходы!$G$6:$G$61,$C17,Проходы!$E$6:$E$61,"рабочий")</f>
        <v>16.2669666666667</v>
      </c>
      <c r="F17" s="12" t="n">
        <f aca="false">SQRT(SUMPRODUCT((Проходы!$A$6:$A$61=$A17)*(Проходы!$F$6:$F$61=$B17)*(Проходы!$G$6:$G$61=$C17)*(Проходы!$E$6:$E$61="рабочий")*(Проходы!$J$6:$J$61-E17)^2)/(D17-1))</f>
        <v>0.0685251292106286</v>
      </c>
      <c r="G17" s="12" t="n">
        <f aca="false">TINV(0.05,D17-1)*F17/SQRT(D17)</f>
        <v>0.170225857674687</v>
      </c>
      <c r="H17" s="12" t="n">
        <f aca="false">AVERAGEIFS(Проходы!$S$6:$S$61,Проходы!$A$6:$A$61,$A17,Проходы!$F$6:$F$61,$B17,Проходы!$G$6:$G$61,$C17,Проходы!$E$6:$E$61,"рабочий")</f>
        <v>48.3618588929621</v>
      </c>
      <c r="I17" s="12" t="n">
        <f aca="false">SQRT(SUMPRODUCT((Проходы!$A$6:$A$61=$A17)*(Проходы!$F$6:$F$61=$B17)*(Проходы!$G$6:$G$61=$C17)*(Проходы!$E$6:$E$61="рабочий")*(Проходы!$S$6:$S$61-H17)^2)/(D17-1))</f>
        <v>0.426296227905417</v>
      </c>
      <c r="J17" s="12" t="n">
        <f aca="false">TINV(0.05,D17-1)*I17/SQRT(D17)</f>
        <v>1.05897853611676</v>
      </c>
      <c r="K17" s="11" t="n">
        <f aca="false">IFERROR(AVERAGEIFS(Проходы!$T$6:$T$61,Проходы!$A$6:$A$61,$A17,Проходы!$F$6:$F$61,$B17,Проходы!$G$6:$G$61,$C17,Проходы!$E$6:$E$61,"рабочий"),"–")</f>
        <v>-0.00281573094192304</v>
      </c>
      <c r="L17" s="11" t="n">
        <f aca="false">AVERAGEIFS(Проходы!$R$6:$R$61,Проходы!$A$6:$A$61,$A17,Проходы!$F$6:$F$61,$B17,Проходы!$G$6:$G$61,$C17,Проходы!$E$6:$E$61,"рабочий")</f>
        <v>0.33638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1" min="2" style="0" width="10"/>
  </cols>
  <sheetData>
    <row r="1" customFormat="false" ht="45" hidden="false" customHeight="true" outlineLevel="0" collapsed="false">
      <c r="A1" s="4" t="s">
        <v>240</v>
      </c>
      <c r="B1" s="4" t="s">
        <v>253</v>
      </c>
      <c r="C1" s="4" t="s">
        <v>252</v>
      </c>
      <c r="D1" s="4" t="s">
        <v>255</v>
      </c>
      <c r="E1" s="4" t="s">
        <v>337</v>
      </c>
      <c r="F1" s="4" t="s">
        <v>338</v>
      </c>
      <c r="G1" s="4" t="s">
        <v>263</v>
      </c>
      <c r="H1" s="4" t="s">
        <v>339</v>
      </c>
      <c r="I1" s="4" t="s">
        <v>340</v>
      </c>
      <c r="J1" s="4" t="s">
        <v>341</v>
      </c>
      <c r="K1" s="4" t="s">
        <v>342</v>
      </c>
      <c r="L1" s="4" t="s">
        <v>343</v>
      </c>
      <c r="M1" s="4" t="s">
        <v>344</v>
      </c>
      <c r="N1" s="4" t="s">
        <v>345</v>
      </c>
      <c r="O1" s="4" t="s">
        <v>346</v>
      </c>
      <c r="P1" s="4" t="s">
        <v>347</v>
      </c>
      <c r="Q1" s="4" t="s">
        <v>348</v>
      </c>
      <c r="R1" s="4" t="s">
        <v>349</v>
      </c>
      <c r="S1" s="4" t="s">
        <v>350</v>
      </c>
      <c r="T1" s="4" t="s">
        <v>351</v>
      </c>
      <c r="U1" s="4" t="s">
        <v>352</v>
      </c>
    </row>
    <row r="2" customFormat="false" ht="15" hidden="false" customHeight="false" outlineLevel="0" collapsed="false">
      <c r="A2" s="17" t="str">
        <f aca="false">Опыт_режимы!A2</f>
        <v>культиватор</v>
      </c>
      <c r="B2" s="17" t="n">
        <f aca="false">Опыт_режимы!B2</f>
        <v>0.08</v>
      </c>
      <c r="C2" s="17" t="n">
        <f aca="false">Опыт_режимы!C2</f>
        <v>3.6</v>
      </c>
      <c r="D2" s="6" t="n">
        <f aca="false">IF(A2="культиватор",1.2,1.25)</f>
        <v>1.2</v>
      </c>
      <c r="E2" s="11" t="n">
        <f aca="false">C2/3.6</f>
        <v>1</v>
      </c>
      <c r="F2" s="13" t="str">
        <f aca="false">IF(A2="культиватор","",A_0+A_v*C2+A_a*B2)</f>
        <v/>
      </c>
      <c r="G2" s="14" t="n">
        <f aca="false">IF(A2="культиватор",D2*B2*(k_0+eps*E2^2),"")</f>
        <v>3510.58545485091</v>
      </c>
      <c r="H2" s="11" t="n">
        <f aca="false">IF(A2="культиватор",G2/(m_ET*g),"")</f>
        <v>0.275275265023987</v>
      </c>
      <c r="I2" s="11" t="n">
        <f aca="false">IF(A2="культиватор",-LN(1-H2/phi_max)/k_slip,slip_till)</f>
        <v>0.0605067711975939</v>
      </c>
      <c r="J2" s="11" t="n">
        <f aca="false">IF(A2="культиватор",G2/(m_D*g),"")</f>
        <v>0.313910389939635</v>
      </c>
      <c r="K2" s="11" t="n">
        <f aca="false">IF(A2="культиватор",-LN(1-J2/phi_max)/k_slip,slip_till)</f>
        <v>0.0713834243403734</v>
      </c>
      <c r="L2" s="12" t="n">
        <f aca="false">IF(A2="культиватор",P_aux+M2/eta_ep,P_aux+c_move*E2+P_rot0+F2*D2*B2*E2)</f>
        <v>7.57266671226363</v>
      </c>
      <c r="M2" s="12" t="n">
        <f aca="false">IF(A2="культиватор",(G2+f_roll*m_ET*g)*E2/(1-I2)/eta_tr/1000,eta_ep*(L2-P_aux))</f>
        <v>6.50554670679199</v>
      </c>
      <c r="N2" s="12" t="n">
        <f aca="false">IF(A2="культиватор",(G2+f_roll*m_D*g)*E2/(1-K2)/eta_tr/1000,eta_ep*(c_move*E2*m_D/m_ET+P_rot0+F2*D2*B2*E2))+P_hyd_idle_D</f>
        <v>6.45041747946066</v>
      </c>
      <c r="O2" s="18" t="n">
        <f aca="false">1-L2*(1+2*cv_P)/P_el_lim</f>
        <v>0.539220106787431</v>
      </c>
      <c r="P2" s="18" t="n">
        <f aca="false">1-N2*(1+2*cv_P)/P_pto_nom</f>
        <v>0.585227249567695</v>
      </c>
      <c r="Q2" s="19" t="b">
        <f aca="false">AND(O2&gt;=0,I2&lt;=slip_max)</f>
        <v>1</v>
      </c>
      <c r="R2" s="19" t="b">
        <f aca="false">AND(P2&gt;=0,K2&lt;=slip_max)</f>
        <v>1</v>
      </c>
      <c r="S2" s="19" t="b">
        <f aca="false">AND(Q2,M2&lt;=P_mot_1h)</f>
        <v>1</v>
      </c>
      <c r="T2" s="12" t="n">
        <f aca="false">k_D*(sfc_a*N2+sfc_b*P_pto_nom)</f>
        <v>3.00885184548135</v>
      </c>
      <c r="U2" s="12" t="n">
        <f aca="false">N2/P_pto_nom</f>
        <v>0.389517963735547</v>
      </c>
    </row>
    <row r="3" customFormat="false" ht="15" hidden="false" customHeight="false" outlineLevel="0" collapsed="false">
      <c r="A3" s="17" t="str">
        <f aca="false">Опыт_режимы!A3</f>
        <v>культиватор</v>
      </c>
      <c r="B3" s="17" t="n">
        <f aca="false">Опыт_режимы!B3</f>
        <v>0.08</v>
      </c>
      <c r="C3" s="17" t="n">
        <f aca="false">Опыт_режимы!C3</f>
        <v>4.5</v>
      </c>
      <c r="D3" s="6" t="n">
        <f aca="false">IF(A3="культиватор",1.2,1.25)</f>
        <v>1.2</v>
      </c>
      <c r="E3" s="11" t="n">
        <f aca="false">C3/3.6</f>
        <v>1.25</v>
      </c>
      <c r="F3" s="13" t="str">
        <f aca="false">IF(A3="культиватор","",A_0+A_v*C3+A_a*B3)</f>
        <v/>
      </c>
      <c r="G3" s="14" t="n">
        <f aca="false">IF(A3="культиватор",D3*B3*(k_0+eps*E3^2),"")</f>
        <v>3618.00095402033</v>
      </c>
      <c r="H3" s="11" t="n">
        <f aca="false">IF(A3="культиватор",G3/(m_ET*g),"")</f>
        <v>0.283698028230246</v>
      </c>
      <c r="I3" s="11" t="n">
        <f aca="false">IF(A3="культиватор",-LN(1-H3/phi_max)/k_slip,slip_till)</f>
        <v>0.0628108824565419</v>
      </c>
      <c r="J3" s="11" t="n">
        <f aca="false">IF(A3="культиватор",G3/(m_D*g),"")</f>
        <v>0.323515295350281</v>
      </c>
      <c r="K3" s="11" t="n">
        <f aca="false">IF(A3="культиватор",-LN(1-J3/phi_max)/k_slip,slip_till)</f>
        <v>0.0742159785469284</v>
      </c>
      <c r="L3" s="12" t="n">
        <f aca="false">IF(A3="культиватор",P_aux+M3/eta_ep,P_aux+c_move*E3+P_rot0+F3*D3*B3*E3)</f>
        <v>9.62855768343413</v>
      </c>
      <c r="M3" s="12" t="n">
        <f aca="false">IF(A3="культиватор",(G3+f_roll*m_ET*g)*E3/(1-I3)/eta_tr/1000,eta_ep*(L3-P_aux))</f>
        <v>8.31473076142203</v>
      </c>
      <c r="N3" s="12" t="n">
        <f aca="false">IF(A3="культиватор",(G3+f_roll*m_D*g)*E3/(1-K3)/eta_tr/1000,eta_ep*(c_move*E3*m_D/m_ET+P_rot0+F3*D3*B3*E3))+P_hyd_idle_D</f>
        <v>8.21442841126465</v>
      </c>
      <c r="O3" s="18" t="n">
        <f aca="false">1-L3*(1+2*cv_P)/P_el_lim</f>
        <v>0.414123722891585</v>
      </c>
      <c r="P3" s="18" t="n">
        <f aca="false">1-N3*(1+2*cv_P)/P_pto_nom</f>
        <v>0.471798364025519</v>
      </c>
      <c r="Q3" s="19" t="b">
        <f aca="false">AND(O3&gt;=0,I3&lt;=slip_max)</f>
        <v>1</v>
      </c>
      <c r="R3" s="19" t="b">
        <f aca="false">AND(P3&gt;=0,K3&lt;=slip_max)</f>
        <v>1</v>
      </c>
      <c r="S3" s="19" t="b">
        <f aca="false">AND(Q3,M3&lt;=P_mot_1h)</f>
        <v>1</v>
      </c>
      <c r="T3" s="12" t="n">
        <f aca="false">k_D*(sfc_a*N3+sfc_b*P_pto_nom)</f>
        <v>3.39693425047822</v>
      </c>
      <c r="U3" s="12" t="n">
        <f aca="false">N3/P_pto_nom</f>
        <v>0.496040362999073</v>
      </c>
    </row>
    <row r="4" customFormat="false" ht="15" hidden="false" customHeight="false" outlineLevel="0" collapsed="false">
      <c r="A4" s="17" t="str">
        <f aca="false">Опыт_режимы!A4</f>
        <v>культиватор</v>
      </c>
      <c r="B4" s="17" t="n">
        <f aca="false">Опыт_режимы!B4</f>
        <v>0.08</v>
      </c>
      <c r="C4" s="17" t="n">
        <f aca="false">Опыт_режимы!C4</f>
        <v>5.4</v>
      </c>
      <c r="D4" s="6" t="n">
        <f aca="false">IF(A4="культиватор",1.2,1.25)</f>
        <v>1.2</v>
      </c>
      <c r="E4" s="11" t="n">
        <f aca="false">C4/3.6</f>
        <v>1.5</v>
      </c>
      <c r="F4" s="13" t="str">
        <f aca="false">IF(A4="культиватор","",A_0+A_v*C4+A_a*B4)</f>
        <v/>
      </c>
      <c r="G4" s="14" t="n">
        <f aca="false">IF(A4="культиватор",D4*B4*(k_0+eps*E4^2),"")</f>
        <v>3749.28656411629</v>
      </c>
      <c r="H4" s="11" t="n">
        <f aca="false">IF(A4="культиватор",G4/(m_ET*g),"")</f>
        <v>0.293992516593452</v>
      </c>
      <c r="I4" s="11" t="n">
        <f aca="false">IF(A4="культиватор",-LN(1-H4/phi_max)/k_slip,slip_till)</f>
        <v>0.0656765377905751</v>
      </c>
      <c r="J4" s="11" t="n">
        <f aca="false">IF(A4="культиватор",G4/(m_D*g),"")</f>
        <v>0.335254624185515</v>
      </c>
      <c r="K4" s="11" t="n">
        <f aca="false">IF(A4="культиватор",-LN(1-J4/phi_max)/k_slip,slip_till)</f>
        <v>0.0777531420291213</v>
      </c>
      <c r="L4" s="12" t="n">
        <f aca="false">IF(A4="культиватор",P_aux+M4/eta_ep,P_aux+c_move*E4+P_rot0+F4*D4*B4*E4)</f>
        <v>11.8252181944483</v>
      </c>
      <c r="M4" s="12" t="n">
        <f aca="false">IF(A4="культиватор",(G4+f_roll*m_ET*g)*E4/(1-I4)/eta_tr/1000,eta_ep*(L4-P_aux))</f>
        <v>10.2477920111145</v>
      </c>
      <c r="N4" s="12" t="n">
        <f aca="false">IF(A4="культиватор",(G4+f_roll*m_D*g)*E4/(1-K4)/eta_tr/1000,eta_ep*(c_move*E4*m_D/m_ET+P_rot0+F4*D4*B4*E4))+P_hyd_idle_D</f>
        <v>10.1070792450316</v>
      </c>
      <c r="O4" s="18" t="n">
        <f aca="false">1-L4*(1+2*cv_P)/P_el_lim</f>
        <v>0.280461826211228</v>
      </c>
      <c r="P4" s="18" t="n">
        <f aca="false">1-N4*(1+2*cv_P)/P_pto_nom</f>
        <v>0.350097715280041</v>
      </c>
      <c r="Q4" s="19" t="b">
        <f aca="false">AND(O4&gt;=0,I4&lt;=slip_max)</f>
        <v>1</v>
      </c>
      <c r="R4" s="19" t="b">
        <f aca="false">AND(P4&gt;=0,K4&lt;=slip_max)</f>
        <v>1</v>
      </c>
      <c r="S4" s="19" t="b">
        <f aca="false">AND(Q4,M4&lt;=P_mot_1h)</f>
        <v>1</v>
      </c>
      <c r="T4" s="12" t="n">
        <f aca="false">k_D*(sfc_a*N4+sfc_b*P_pto_nom)</f>
        <v>3.81331743390696</v>
      </c>
      <c r="U4" s="12" t="n">
        <f aca="false">N4/P_pto_nom</f>
        <v>0.61033087228452</v>
      </c>
    </row>
    <row r="5" customFormat="false" ht="15" hidden="false" customHeight="false" outlineLevel="0" collapsed="false">
      <c r="A5" s="17" t="str">
        <f aca="false">Опыт_режимы!A5</f>
        <v>культиватор</v>
      </c>
      <c r="B5" s="17" t="n">
        <f aca="false">Опыт_режимы!B5</f>
        <v>0.11</v>
      </c>
      <c r="C5" s="17" t="n">
        <f aca="false">Опыт_режимы!C5</f>
        <v>3.6</v>
      </c>
      <c r="D5" s="6" t="n">
        <f aca="false">IF(A5="культиватор",1.2,1.25)</f>
        <v>1.2</v>
      </c>
      <c r="E5" s="11" t="n">
        <f aca="false">C5/3.6</f>
        <v>1</v>
      </c>
      <c r="F5" s="13" t="str">
        <f aca="false">IF(A5="культиватор","",A_0+A_v*C5+A_a*B5)</f>
        <v/>
      </c>
      <c r="G5" s="14" t="n">
        <f aca="false">IF(A5="культиватор",D5*B5*(k_0+eps*E5^2),"")</f>
        <v>4827.05500042</v>
      </c>
      <c r="H5" s="11" t="n">
        <f aca="false">IF(A5="культиватор",G5/(m_ET*g),"")</f>
        <v>0.378503489407982</v>
      </c>
      <c r="I5" s="11" t="n">
        <f aca="false">IF(A5="культиватор",-LN(1-H5/phi_max)/k_slip,slip_till)</f>
        <v>0.0915650239669171</v>
      </c>
      <c r="J5" s="11" t="n">
        <f aca="false">IF(A5="культиватор",G5/(m_D*g),"")</f>
        <v>0.431626786166998</v>
      </c>
      <c r="K5" s="11" t="n">
        <f aca="false">IF(A5="культиватор",-LN(1-J5/phi_max)/k_slip,slip_till)</f>
        <v>0.110505962827421</v>
      </c>
      <c r="L5" s="12" t="n">
        <f aca="false">IF(A5="культиватор",P_aux+M5/eta_ep,P_aux+c_move*E5+P_rot0+F5*D5*B5*E5)</f>
        <v>9.69674808545667</v>
      </c>
      <c r="M5" s="12" t="n">
        <f aca="false">IF(A5="культиватор",(G5+f_roll*m_ET*g)*E5/(1-I5)/eta_tr/1000,eta_ep*(L5-P_aux))</f>
        <v>8.37473831520187</v>
      </c>
      <c r="N5" s="12" t="n">
        <f aca="false">IF(A5="культиватор",(G5+f_roll*m_D*g)*E5/(1-K5)/eta_tr/1000,eta_ep*(c_move*E5*m_D/m_ET+P_rot0+F5*D5*B5*E5))+P_hyd_idle_D</f>
        <v>8.4093698416691</v>
      </c>
      <c r="O5" s="18" t="n">
        <f aca="false">1-L5*(1+2*cv_P)/P_el_lim</f>
        <v>0.409974488895695</v>
      </c>
      <c r="P5" s="18" t="n">
        <f aca="false">1-N5*(1+2*cv_P)/P_pto_nom</f>
        <v>0.459263300439399</v>
      </c>
      <c r="Q5" s="19" t="b">
        <f aca="false">AND(O5&gt;=0,I5&lt;=slip_max)</f>
        <v>1</v>
      </c>
      <c r="R5" s="19" t="b">
        <f aca="false">AND(P5&gt;=0,K5&lt;=slip_max)</f>
        <v>1</v>
      </c>
      <c r="S5" s="19" t="b">
        <f aca="false">AND(Q5,M5&lt;=P_mot_1h)</f>
        <v>1</v>
      </c>
      <c r="T5" s="12" t="n">
        <f aca="false">k_D*(sfc_a*N5+sfc_b*P_pto_nom)</f>
        <v>3.4398213651672</v>
      </c>
      <c r="U5" s="12" t="n">
        <f aca="false">N5/P_pto_nom</f>
        <v>0.507812188506588</v>
      </c>
    </row>
    <row r="6" customFormat="false" ht="15" hidden="false" customHeight="false" outlineLevel="0" collapsed="false">
      <c r="A6" s="17" t="str">
        <f aca="false">Опыт_режимы!A6</f>
        <v>культиватор</v>
      </c>
      <c r="B6" s="17" t="n">
        <f aca="false">Опыт_режимы!B6</f>
        <v>0.11</v>
      </c>
      <c r="C6" s="17" t="n">
        <f aca="false">Опыт_режимы!C6</f>
        <v>4.5</v>
      </c>
      <c r="D6" s="6" t="n">
        <f aca="false">IF(A6="культиватор",1.2,1.25)</f>
        <v>1.2</v>
      </c>
      <c r="E6" s="11" t="n">
        <f aca="false">C6/3.6</f>
        <v>1.25</v>
      </c>
      <c r="F6" s="13" t="str">
        <f aca="false">IF(A6="культиватор","",A_0+A_v*C6+A_a*B6)</f>
        <v/>
      </c>
      <c r="G6" s="14" t="n">
        <f aca="false">IF(A6="культиватор",D6*B6*(k_0+eps*E6^2),"")</f>
        <v>4974.75131177795</v>
      </c>
      <c r="H6" s="11" t="n">
        <f aca="false">IF(A6="культиватор",G6/(m_ET*g),"")</f>
        <v>0.390084788816589</v>
      </c>
      <c r="I6" s="11" t="n">
        <f aca="false">IF(A6="культиватор",-LN(1-H6/phi_max)/k_slip,slip_till)</f>
        <v>0.0954929677505618</v>
      </c>
      <c r="J6" s="11" t="n">
        <f aca="false">IF(A6="культиватор",G6/(m_D*g),"")</f>
        <v>0.444833531106636</v>
      </c>
      <c r="K6" s="11" t="n">
        <f aca="false">IF(A6="культиватор",-LN(1-J6/phi_max)/k_slip,slip_till)</f>
        <v>0.115615906427994</v>
      </c>
      <c r="L6" s="12" t="n">
        <f aca="false">IF(A6="культиватор",P_aux+M6/eta_ep,P_aux+c_move*E6+P_rot0+F6*D6*B6*E6)</f>
        <v>12.3911686897412</v>
      </c>
      <c r="M6" s="12" t="n">
        <f aca="false">IF(A6="культиватор",(G6+f_roll*m_ET*g)*E6/(1-I6)/eta_tr/1000,eta_ep*(L6-P_aux))</f>
        <v>10.7458284469722</v>
      </c>
      <c r="N6" s="12" t="n">
        <f aca="false">IF(A6="культиватор",(G6+f_roll*m_D*g)*E6/(1-K6)/eta_tr/1000,eta_ep*(c_move*E6*m_D/m_ET+P_rot0+F6*D6*B6*E6))+P_hyd_idle_D</f>
        <v>10.7710878805908</v>
      </c>
      <c r="O6" s="18" t="n">
        <f aca="false">1-L6*(1+2*cv_P)/P_el_lim</f>
        <v>0.246024999833757</v>
      </c>
      <c r="P6" s="18" t="n">
        <f aca="false">1-N6*(1+2*cv_P)/P_pto_nom</f>
        <v>0.307400837293674</v>
      </c>
      <c r="Q6" s="19" t="b">
        <f aca="false">AND(O6&gt;=0,I6&lt;=slip_max)</f>
        <v>1</v>
      </c>
      <c r="R6" s="19" t="b">
        <f aca="false">AND(P6&gt;=0,K6&lt;=slip_max)</f>
        <v>1</v>
      </c>
      <c r="S6" s="19" t="b">
        <f aca="false">AND(Q6,M6&lt;=P_mot_1h)</f>
        <v>1</v>
      </c>
      <c r="T6" s="12" t="n">
        <f aca="false">k_D*(sfc_a*N6+sfc_b*P_pto_nom)</f>
        <v>3.95939933372997</v>
      </c>
      <c r="U6" s="12" t="n">
        <f aca="false">N6/P_pto_nom</f>
        <v>0.650428012112969</v>
      </c>
    </row>
    <row r="7" customFormat="false" ht="15" hidden="false" customHeight="false" outlineLevel="0" collapsed="false">
      <c r="A7" s="17" t="str">
        <f aca="false">Опыт_режимы!A7</f>
        <v>культиватор</v>
      </c>
      <c r="B7" s="17" t="n">
        <f aca="false">Опыт_режимы!B7</f>
        <v>0.11</v>
      </c>
      <c r="C7" s="17" t="n">
        <f aca="false">Опыт_режимы!C7</f>
        <v>5.4</v>
      </c>
      <c r="D7" s="6" t="n">
        <f aca="false">IF(A7="культиватор",1.2,1.25)</f>
        <v>1.2</v>
      </c>
      <c r="E7" s="11" t="n">
        <f aca="false">C7/3.6</f>
        <v>1.5</v>
      </c>
      <c r="F7" s="13" t="str">
        <f aca="false">IF(A7="культиватор","",A_0+A_v*C7+A_a*B7)</f>
        <v/>
      </c>
      <c r="G7" s="14" t="n">
        <f aca="false">IF(A7="культиватор",D7*B7*(k_0+eps*E7^2),"")</f>
        <v>5155.2690256599</v>
      </c>
      <c r="H7" s="11" t="n">
        <f aca="false">IF(A7="культиватор",G7/(m_ET*g),"")</f>
        <v>0.404239710315996</v>
      </c>
      <c r="I7" s="11" t="n">
        <f aca="false">IF(A7="культиватор",-LN(1-H7/phi_max)/k_slip,slip_till)</f>
        <v>0.100439576070286</v>
      </c>
      <c r="J7" s="11" t="n">
        <f aca="false">IF(A7="культиватор",G7/(m_D*g),"")</f>
        <v>0.460975108255083</v>
      </c>
      <c r="K7" s="11" t="n">
        <f aca="false">IF(A7="культиватор",-LN(1-J7/phi_max)/k_slip,slip_till)</f>
        <v>0.122110492503623</v>
      </c>
      <c r="L7" s="12" t="n">
        <f aca="false">IF(A7="культиватор",P_aux+M7/eta_ep,P_aux+c_move*E7+P_rot0+F7*D7*B7*E7)</f>
        <v>15.3026810432853</v>
      </c>
      <c r="M7" s="12" t="n">
        <f aca="false">IF(A7="культиватор",(G7+f_roll*m_ET*g)*E7/(1-I7)/eta_tr/1000,eta_ep*(L7-P_aux))</f>
        <v>13.307959318091</v>
      </c>
      <c r="N7" s="12" t="n">
        <f aca="false">IF(A7="культиватор",(G7+f_roll*m_D*g)*E7/(1-K7)/eta_tr/1000,eta_ep*(c_move*E7*m_D/m_ET+P_rot0+F7*D7*B7*E7))+P_hyd_idle_D</f>
        <v>13.3400950671062</v>
      </c>
      <c r="O7" s="18" t="n">
        <f aca="false">1-L7*(1+2*cv_P)/P_el_lim</f>
        <v>0.0688659616338457</v>
      </c>
      <c r="P7" s="18" t="n">
        <f aca="false">1-N7*(1+2*cv_P)/P_pto_nom</f>
        <v>0.142209331468773</v>
      </c>
      <c r="Q7" s="19" t="b">
        <f aca="false">AND(O7&gt;=0,I7&lt;=slip_max)</f>
        <v>1</v>
      </c>
      <c r="R7" s="19" t="b">
        <f aca="false">AND(P7&gt;=0,K7&lt;=slip_max)</f>
        <v>1</v>
      </c>
      <c r="S7" s="19" t="b">
        <f aca="false">AND(Q7,M7&lt;=P_mot_1h)</f>
        <v>0</v>
      </c>
      <c r="T7" s="12" t="n">
        <f aca="false">k_D*(sfc_a*N7+sfc_b*P_pto_nom)</f>
        <v>4.52458091476337</v>
      </c>
      <c r="U7" s="12" t="n">
        <f aca="false">N7/P_pto_nom</f>
        <v>0.805561296322839</v>
      </c>
    </row>
    <row r="8" customFormat="false" ht="15" hidden="false" customHeight="false" outlineLevel="0" collapsed="false">
      <c r="A8" s="17" t="str">
        <f aca="false">Опыт_режимы!A8</f>
        <v>культиватор</v>
      </c>
      <c r="B8" s="17" t="n">
        <f aca="false">Опыт_режимы!B8</f>
        <v>0.14</v>
      </c>
      <c r="C8" s="17" t="n">
        <f aca="false">Опыт_режимы!C8</f>
        <v>3.6</v>
      </c>
      <c r="D8" s="6" t="n">
        <f aca="false">IF(A8="культиватор",1.2,1.25)</f>
        <v>1.2</v>
      </c>
      <c r="E8" s="11" t="n">
        <f aca="false">C8/3.6</f>
        <v>1</v>
      </c>
      <c r="F8" s="13" t="str">
        <f aca="false">IF(A8="культиватор","",A_0+A_v*C8+A_a*B8)</f>
        <v/>
      </c>
      <c r="G8" s="14" t="n">
        <f aca="false">IF(A8="культиватор",D8*B8*(k_0+eps*E8^2),"")</f>
        <v>6143.52454598909</v>
      </c>
      <c r="H8" s="11" t="n">
        <f aca="false">IF(A8="культиватор",G8/(m_ET*g),"")</f>
        <v>0.481731713791978</v>
      </c>
      <c r="I8" s="11" t="n">
        <f aca="false">IF(A8="культиватор",-LN(1-H8/phi_max)/k_slip,slip_till)</f>
        <v>0.130903268045503</v>
      </c>
      <c r="J8" s="11" t="n">
        <f aca="false">IF(A8="культиватор",G8/(m_D*g),"")</f>
        <v>0.549343182394361</v>
      </c>
      <c r="K8" s="11" t="n">
        <f aca="false">IF(A8="культиватор",-LN(1-J8/phi_max)/k_slip,slip_till)</f>
        <v>0.163806562287673</v>
      </c>
      <c r="L8" s="12" t="n">
        <f aca="false">IF(A8="культиватор",P_aux+M8/eta_ep,P_aux+c_move*E8+P_rot0+F8*D8*B8*E8)</f>
        <v>12.0835464505998</v>
      </c>
      <c r="M8" s="12" t="n">
        <f aca="false">IF(A8="культиватор",(G8+f_roll*m_ET*g)*E8/(1-I8)/eta_tr/1000,eta_ep*(L8-P_aux))</f>
        <v>10.4751208765278</v>
      </c>
      <c r="N8" s="12" t="n">
        <f aca="false">IF(A8="культиватор",(G8+f_roll*m_D*g)*E8/(1-K8)/eta_tr/1000,eta_ep*(c_move*E8*m_D/m_ET+P_rot0+F8*D8*B8*E8))+P_hyd_idle_D</f>
        <v>10.7248836885451</v>
      </c>
      <c r="O8" s="18" t="n">
        <f aca="false">1-L8*(1+2*cv_P)/P_el_lim</f>
        <v>0.264743127527381</v>
      </c>
      <c r="P8" s="18" t="n">
        <f aca="false">1-N8*(1+2*cv_P)/P_pto_nom</f>
        <v>0.310371844965239</v>
      </c>
      <c r="Q8" s="19" t="b">
        <f aca="false">AND(O8&gt;=0,I8&lt;=slip_max)</f>
        <v>1</v>
      </c>
      <c r="R8" s="19" t="b">
        <f aca="false">AND(P8&gt;=0,K8&lt;=slip_max)</f>
        <v>0</v>
      </c>
      <c r="S8" s="19" t="b">
        <f aca="false">AND(Q8,M8&lt;=P_mot_1h)</f>
        <v>1</v>
      </c>
      <c r="T8" s="12" t="n">
        <f aca="false">k_D*(sfc_a*N8+sfc_b*P_pto_nom)</f>
        <v>3.94923441147993</v>
      </c>
      <c r="U8" s="12" t="n">
        <f aca="false">N8/P_pto_nom</f>
        <v>0.647637903897653</v>
      </c>
    </row>
    <row r="9" customFormat="false" ht="15" hidden="false" customHeight="false" outlineLevel="0" collapsed="false">
      <c r="A9" s="17" t="str">
        <f aca="false">Опыт_режимы!A9</f>
        <v>культиватор</v>
      </c>
      <c r="B9" s="17" t="n">
        <f aca="false">Опыт_режимы!B9</f>
        <v>0.14</v>
      </c>
      <c r="C9" s="17" t="n">
        <f aca="false">Опыт_режимы!C9</f>
        <v>4.5</v>
      </c>
      <c r="D9" s="6" t="n">
        <f aca="false">IF(A9="культиватор",1.2,1.25)</f>
        <v>1.2</v>
      </c>
      <c r="E9" s="11" t="n">
        <f aca="false">C9/3.6</f>
        <v>1.25</v>
      </c>
      <c r="F9" s="13" t="str">
        <f aca="false">IF(A9="культиватор","",A_0+A_v*C9+A_a*B9)</f>
        <v/>
      </c>
      <c r="G9" s="14" t="n">
        <f aca="false">IF(A9="культиватор",D9*B9*(k_0+eps*E9^2),"")</f>
        <v>6331.50166953558</v>
      </c>
      <c r="H9" s="11" t="n">
        <f aca="false">IF(A9="культиватор",G9/(m_ET*g),"")</f>
        <v>0.496471549402931</v>
      </c>
      <c r="I9" s="11" t="n">
        <f aca="false">IF(A9="культиватор",-LN(1-H9/phi_max)/k_slip,slip_till)</f>
        <v>0.137479900866404</v>
      </c>
      <c r="J9" s="11" t="n">
        <f aca="false">IF(A9="культиватор",G9/(m_D*g),"")</f>
        <v>0.566151766862991</v>
      </c>
      <c r="K9" s="11" t="n">
        <f aca="false">IF(A9="культиватор",-LN(1-J9/phi_max)/k_slip,slip_till)</f>
        <v>0.173260504498785</v>
      </c>
      <c r="L9" s="12" t="n">
        <f aca="false">IF(A9="культиватор",P_aux+M9/eta_ep,P_aux+c_move*E9+P_rot0+F9*D9*B9*E9)</f>
        <v>15.5246748424862</v>
      </c>
      <c r="M9" s="12" t="n">
        <f aca="false">IF(A9="культиватор",(G9+f_roll*m_ET*g)*E9/(1-I9)/eta_tr/1000,eta_ep*(L9-P_aux))</f>
        <v>13.5033138613879</v>
      </c>
      <c r="N9" s="12" t="n">
        <f aca="false">IF(A9="культиватор",(G9+f_roll*m_D*g)*E9/(1-K9)/eta_tr/1000,eta_ep*(c_move*E9*m_D/m_ET+P_rot0+F9*D9*B9*E9))+P_hyd_idle_D</f>
        <v>13.8427332640444</v>
      </c>
      <c r="O9" s="18" t="n">
        <f aca="false">1-L9*(1+2*cv_P)/P_el_lim</f>
        <v>0.0553581336815034</v>
      </c>
      <c r="P9" s="18" t="n">
        <f aca="false">1-N9*(1+2*cv_P)/P_pto_nom</f>
        <v>0.109888845534299</v>
      </c>
      <c r="Q9" s="19" t="b">
        <f aca="false">AND(O9&gt;=0,I9&lt;=slip_max)</f>
        <v>1</v>
      </c>
      <c r="R9" s="19" t="b">
        <f aca="false">AND(P9&gt;=0,K9&lt;=slip_max)</f>
        <v>0</v>
      </c>
      <c r="S9" s="19" t="b">
        <f aca="false">AND(Q9,M9&lt;=P_mot_1h)</f>
        <v>0</v>
      </c>
      <c r="T9" s="12" t="n">
        <f aca="false">k_D*(sfc_a*N9+sfc_b*P_pto_nom)</f>
        <v>4.63516131808977</v>
      </c>
      <c r="U9" s="12" t="n">
        <f aca="false">N9/P_pto_nom</f>
        <v>0.835913844447127</v>
      </c>
    </row>
    <row r="10" customFormat="false" ht="15" hidden="false" customHeight="false" outlineLevel="0" collapsed="false">
      <c r="A10" s="17" t="str">
        <f aca="false">Опыт_режимы!A10</f>
        <v>фреза</v>
      </c>
      <c r="B10" s="17" t="n">
        <f aca="false">Опыт_режимы!B10</f>
        <v>0.08</v>
      </c>
      <c r="C10" s="17" t="n">
        <f aca="false">Опыт_режимы!C10</f>
        <v>1.8</v>
      </c>
      <c r="D10" s="6" t="n">
        <f aca="false">IF(A10="культиватор",1.2,1.25)</f>
        <v>1.25</v>
      </c>
      <c r="E10" s="11" t="n">
        <f aca="false">C10/3.6</f>
        <v>0.5</v>
      </c>
      <c r="F10" s="13" t="n">
        <f aca="false">IF(A10="культиватор","",A_0+A_v*C10+A_a*B10)</f>
        <v>104.799839496303</v>
      </c>
      <c r="G10" s="14" t="str">
        <f aca="false">IF(A10="культиватор",D10*B10*(k_0+eps*E10^2),"")</f>
        <v/>
      </c>
      <c r="H10" s="11" t="str">
        <f aca="false">IF(A10="культиватор",G10/(m_ET*g),"")</f>
        <v/>
      </c>
      <c r="I10" s="11" t="n">
        <f aca="false">IF(A10="культиватор",-LN(1-H10/phi_max)/k_slip,slip_till)</f>
        <v>0</v>
      </c>
      <c r="J10" s="11" t="str">
        <f aca="false">IF(A10="культиватор",G10/(m_D*g),"")</f>
        <v/>
      </c>
      <c r="K10" s="11" t="n">
        <f aca="false">IF(A10="культиватор",-LN(1-J10/phi_max)/k_slip,slip_till)</f>
        <v>0</v>
      </c>
      <c r="L10" s="12" t="n">
        <f aca="false">IF(A10="культиватор",P_aux+M10/eta_ep,P_aux+c_move*E10+P_rot0+F10*D10*B10*E10)</f>
        <v>7.43057090378213</v>
      </c>
      <c r="M10" s="12" t="n">
        <f aca="false">IF(A10="культиватор",(G10+f_roll*m_ET*g)*E10/(1-I10)/eta_tr/1000,eta_ep*(L10-P_aux))</f>
        <v>6.38050239532827</v>
      </c>
      <c r="N10" s="12" t="n">
        <f aca="false">IF(A10="культиватор",(G10+f_roll*m_D*g)*E10/(1-K10)/eta_tr/1000,eta_ep*(c_move*E10*m_D/m_ET+P_rot0+F10*D10*B10*E10))+P_hyd_idle_D</f>
        <v>6.4190127390217</v>
      </c>
      <c r="O10" s="18" t="n">
        <f aca="false">1-L10*(1+2*cv_P)/P_el_lim</f>
        <v>0.547866320062872</v>
      </c>
      <c r="P10" s="18" t="n">
        <f aca="false">1-N10*(1+2*cv_P)/P_pto_nom</f>
        <v>0.587246627477723</v>
      </c>
      <c r="Q10" s="19" t="b">
        <f aca="false">AND(O10&gt;=0,I10&lt;=slip_max)</f>
        <v>1</v>
      </c>
      <c r="R10" s="19" t="b">
        <f aca="false">AND(P10&gt;=0,K10&lt;=slip_max)</f>
        <v>1</v>
      </c>
      <c r="S10" s="19" t="b">
        <f aca="false">AND(Q10,M10&lt;=P_mot_1h)</f>
        <v>1</v>
      </c>
      <c r="T10" s="12" t="n">
        <f aca="false">k_D*(sfc_a*N10+sfc_b*P_pto_nom)</f>
        <v>3.00194280258477</v>
      </c>
      <c r="U10" s="12" t="n">
        <f aca="false">N10/P_pto_nom</f>
        <v>0.387621542211455</v>
      </c>
    </row>
    <row r="11" customFormat="false" ht="15" hidden="false" customHeight="false" outlineLevel="0" collapsed="false">
      <c r="A11" s="17" t="str">
        <f aca="false">Опыт_режимы!A11</f>
        <v>фреза</v>
      </c>
      <c r="B11" s="17" t="n">
        <f aca="false">Опыт_режимы!B11</f>
        <v>0.08</v>
      </c>
      <c r="C11" s="17" t="n">
        <f aca="false">Опыт_режимы!C11</f>
        <v>2.7</v>
      </c>
      <c r="D11" s="6" t="n">
        <f aca="false">IF(A11="культиватор",1.2,1.25)</f>
        <v>1.25</v>
      </c>
      <c r="E11" s="11" t="n">
        <f aca="false">C11/3.6</f>
        <v>0.75</v>
      </c>
      <c r="F11" s="13" t="n">
        <f aca="false">IF(A11="культиватор","",A_0+A_v*C11+A_a*B11)</f>
        <v>95.5534617959239</v>
      </c>
      <c r="G11" s="14" t="str">
        <f aca="false">IF(A11="культиватор",D11*B11*(k_0+eps*E11^2),"")</f>
        <v/>
      </c>
      <c r="H11" s="11" t="str">
        <f aca="false">IF(A11="культиватор",G11/(m_ET*g),"")</f>
        <v/>
      </c>
      <c r="I11" s="11" t="n">
        <f aca="false">IF(A11="культиватор",-LN(1-H11/phi_max)/k_slip,slip_till)</f>
        <v>0</v>
      </c>
      <c r="J11" s="11" t="str">
        <f aca="false">IF(A11="культиватор",G11/(m_D*g),"")</f>
        <v/>
      </c>
      <c r="K11" s="11" t="n">
        <f aca="false">IF(A11="культиватор",-LN(1-J11/phi_max)/k_slip,slip_till)</f>
        <v>0</v>
      </c>
      <c r="L11" s="12" t="n">
        <f aca="false">IF(A11="культиватор",P_aux+M11/eta_ep,P_aux+c_move*E11+P_rot0+F11*D11*B11*E11)</f>
        <v>9.87177802814479</v>
      </c>
      <c r="M11" s="12" t="n">
        <f aca="false">IF(A11="культиватор",(G11+f_roll*m_ET*g)*E11/(1-I11)/eta_tr/1000,eta_ep*(L11-P_aux))</f>
        <v>8.52876466476741</v>
      </c>
      <c r="N11" s="12" t="n">
        <f aca="false">IF(A11="культиватор",(G11+f_roll*m_D*g)*E11/(1-K11)/eta_tr/1000,eta_ep*(c_move*E11*m_D/m_ET+P_rot0+F11*D11*B11*E11))+P_hyd_idle_D</f>
        <v>8.51153018030754</v>
      </c>
      <c r="O11" s="18" t="n">
        <f aca="false">1-L11*(1+2*cv_P)/P_el_lim</f>
        <v>0.399324306949852</v>
      </c>
      <c r="P11" s="18" t="n">
        <f aca="false">1-N11*(1+2*cv_P)/P_pto_nom</f>
        <v>0.452694217930075</v>
      </c>
      <c r="Q11" s="19" t="b">
        <f aca="false">AND(O11&gt;=0,I11&lt;=slip_max)</f>
        <v>1</v>
      </c>
      <c r="R11" s="19" t="b">
        <f aca="false">AND(P11&gt;=0,K11&lt;=slip_max)</f>
        <v>1</v>
      </c>
      <c r="S11" s="19" t="b">
        <f aca="false">AND(Q11,M11&lt;=P_mot_1h)</f>
        <v>1</v>
      </c>
      <c r="T11" s="12" t="n">
        <f aca="false">k_D*(sfc_a*N11+sfc_b*P_pto_nom)</f>
        <v>3.46229663966766</v>
      </c>
      <c r="U11" s="12" t="n">
        <f aca="false">N11/P_pto_nom</f>
        <v>0.513981291081374</v>
      </c>
    </row>
    <row r="12" customFormat="false" ht="15" hidden="false" customHeight="false" outlineLevel="0" collapsed="false">
      <c r="A12" s="17" t="str">
        <f aca="false">Опыт_режимы!A12</f>
        <v>фреза</v>
      </c>
      <c r="B12" s="17" t="n">
        <f aca="false">Опыт_режимы!B12</f>
        <v>0.08</v>
      </c>
      <c r="C12" s="17" t="n">
        <f aca="false">Опыт_режимы!C12</f>
        <v>3.6</v>
      </c>
      <c r="D12" s="6" t="n">
        <f aca="false">IF(A12="культиватор",1.2,1.25)</f>
        <v>1.25</v>
      </c>
      <c r="E12" s="11" t="n">
        <f aca="false">C12/3.6</f>
        <v>1</v>
      </c>
      <c r="F12" s="13" t="n">
        <f aca="false">IF(A12="культиватор","",A_0+A_v*C12+A_a*B12)</f>
        <v>86.3070840955451</v>
      </c>
      <c r="G12" s="14" t="str">
        <f aca="false">IF(A12="культиватор",D12*B12*(k_0+eps*E12^2),"")</f>
        <v/>
      </c>
      <c r="H12" s="11" t="str">
        <f aca="false">IF(A12="культиватор",G12/(m_ET*g),"")</f>
        <v/>
      </c>
      <c r="I12" s="11" t="n">
        <f aca="false">IF(A12="культиватор",-LN(1-H12/phi_max)/k_slip,slip_till)</f>
        <v>0</v>
      </c>
      <c r="J12" s="11" t="str">
        <f aca="false">IF(A12="культиватор",G12/(m_D*g),"")</f>
        <v/>
      </c>
      <c r="K12" s="11" t="n">
        <f aca="false">IF(A12="культиватор",-LN(1-J12/phi_max)/k_slip,slip_till)</f>
        <v>0</v>
      </c>
      <c r="L12" s="12" t="n">
        <f aca="false">IF(A12="культиватор",P_aux+M12/eta_ep,P_aux+c_move*E12+P_rot0+F12*D12*B12*E12)</f>
        <v>11.8506662674885</v>
      </c>
      <c r="M12" s="12" t="n">
        <f aca="false">IF(A12="культиватор",(G12+f_roll*m_ET*g)*E12/(1-I12)/eta_tr/1000,eta_ep*(L12-P_aux))</f>
        <v>10.2701863153899</v>
      </c>
      <c r="N12" s="12" t="n">
        <f aca="false">IF(A12="культиватор",(G12+f_roll*m_D*g)*E12/(1-K12)/eta_tr/1000,eta_ep*(c_move*E12*m_D/m_ET+P_rot0+F12*D12*B12*E12))+P_hyd_idle_D</f>
        <v>10.1972070027767</v>
      </c>
      <c r="O12" s="18" t="n">
        <f aca="false">1-L12*(1+2*cv_P)/P_el_lim</f>
        <v>0.278913367679578</v>
      </c>
      <c r="P12" s="18" t="n">
        <f aca="false">1-N12*(1+2*cv_P)/P_pto_nom</f>
        <v>0.344302348067104</v>
      </c>
      <c r="Q12" s="19" t="b">
        <f aca="false">AND(O12&gt;=0,I12&lt;=slip_max)</f>
        <v>1</v>
      </c>
      <c r="R12" s="19" t="b">
        <f aca="false">AND(P12&gt;=0,K12&lt;=slip_max)</f>
        <v>1</v>
      </c>
      <c r="S12" s="19" t="b">
        <f aca="false">AND(Q12,M12&lt;=P_mot_1h)</f>
        <v>1</v>
      </c>
      <c r="T12" s="12" t="n">
        <f aca="false">k_D*(sfc_a*N12+sfc_b*P_pto_nom)</f>
        <v>3.83314554061088</v>
      </c>
      <c r="U12" s="12" t="n">
        <f aca="false">N12/P_pto_nom</f>
        <v>0.615773369732894</v>
      </c>
    </row>
    <row r="13" customFormat="false" ht="15" hidden="false" customHeight="false" outlineLevel="0" collapsed="false">
      <c r="A13" s="17" t="str">
        <f aca="false">Опыт_режимы!A13</f>
        <v>фреза</v>
      </c>
      <c r="B13" s="17" t="n">
        <f aca="false">Опыт_режимы!B13</f>
        <v>0.12</v>
      </c>
      <c r="C13" s="17" t="n">
        <f aca="false">Опыт_режимы!C13</f>
        <v>1.8</v>
      </c>
      <c r="D13" s="6" t="n">
        <f aca="false">IF(A13="культиватор",1.2,1.25)</f>
        <v>1.25</v>
      </c>
      <c r="E13" s="11" t="n">
        <f aca="false">C13/3.6</f>
        <v>0.5</v>
      </c>
      <c r="F13" s="13" t="n">
        <f aca="false">IF(A13="культиватор","",A_0+A_v*C13+A_a*B13)</f>
        <v>103.670812785616</v>
      </c>
      <c r="G13" s="14" t="str">
        <f aca="false">IF(A13="культиватор",D13*B13*(k_0+eps*E13^2),"")</f>
        <v/>
      </c>
      <c r="H13" s="11" t="str">
        <f aca="false">IF(A13="культиватор",G13/(m_ET*g),"")</f>
        <v/>
      </c>
      <c r="I13" s="11" t="n">
        <f aca="false">IF(A13="культиватор",-LN(1-H13/phi_max)/k_slip,slip_till)</f>
        <v>0</v>
      </c>
      <c r="J13" s="11" t="str">
        <f aca="false">IF(A13="культиватор",G13/(m_D*g),"")</f>
        <v/>
      </c>
      <c r="K13" s="11" t="n">
        <f aca="false">IF(A13="культиватор",-LN(1-J13/phi_max)/k_slip,slip_till)</f>
        <v>0</v>
      </c>
      <c r="L13" s="12" t="n">
        <f aca="false">IF(A13="культиватор",P_aux+M13/eta_ep,P_aux+c_move*E13+P_rot0+F13*D13*B13*E13)</f>
        <v>9.96588988788821</v>
      </c>
      <c r="M13" s="12" t="n">
        <f aca="false">IF(A13="культиватор",(G13+f_roll*m_ET*g)*E13/(1-I13)/eta_tr/1000,eta_ep*(L13-P_aux))</f>
        <v>8.61158310134163</v>
      </c>
      <c r="N13" s="12" t="n">
        <f aca="false">IF(A13="культиватор",(G13+f_roll*m_D*g)*E13/(1-K13)/eta_tr/1000,eta_ep*(c_move*E13*m_D/m_ET+P_rot0+F13*D13*B13*E13))+P_hyd_idle_D</f>
        <v>8.65009344503505</v>
      </c>
      <c r="O13" s="18" t="n">
        <f aca="false">1-L13*(1+2*cv_P)/P_el_lim</f>
        <v>0.393597810019467</v>
      </c>
      <c r="P13" s="18" t="n">
        <f aca="false">1-N13*(1+2*cv_P)/P_pto_nom</f>
        <v>0.443784365722383</v>
      </c>
      <c r="Q13" s="19" t="b">
        <f aca="false">AND(O13&gt;=0,I13&lt;=slip_max)</f>
        <v>1</v>
      </c>
      <c r="R13" s="19" t="b">
        <f aca="false">AND(P13&gt;=0,K13&lt;=slip_max)</f>
        <v>1</v>
      </c>
      <c r="S13" s="19" t="b">
        <f aca="false">AND(Q13,M13&lt;=P_mot_1h)</f>
        <v>1</v>
      </c>
      <c r="T13" s="12" t="n">
        <f aca="false">k_D*(sfc_a*N13+sfc_b*P_pto_nom)</f>
        <v>3.49278055790771</v>
      </c>
      <c r="U13" s="12" t="n">
        <f aca="false">N13/P_pto_nom</f>
        <v>0.522348637985208</v>
      </c>
    </row>
    <row r="14" customFormat="false" ht="15" hidden="false" customHeight="false" outlineLevel="0" collapsed="false">
      <c r="A14" s="17" t="str">
        <f aca="false">Опыт_режимы!A14</f>
        <v>фреза</v>
      </c>
      <c r="B14" s="17" t="n">
        <f aca="false">Опыт_режимы!B14</f>
        <v>0.12</v>
      </c>
      <c r="C14" s="17" t="n">
        <f aca="false">Опыт_режимы!C14</f>
        <v>2.7</v>
      </c>
      <c r="D14" s="6" t="n">
        <f aca="false">IF(A14="культиватор",1.2,1.25)</f>
        <v>1.25</v>
      </c>
      <c r="E14" s="11" t="n">
        <f aca="false">C14/3.6</f>
        <v>0.75</v>
      </c>
      <c r="F14" s="13" t="n">
        <f aca="false">IF(A14="культиватор","",A_0+A_v*C14+A_a*B14)</f>
        <v>94.4244350852375</v>
      </c>
      <c r="G14" s="14" t="str">
        <f aca="false">IF(A14="культиватор",D14*B14*(k_0+eps*E14^2),"")</f>
        <v/>
      </c>
      <c r="H14" s="11" t="str">
        <f aca="false">IF(A14="культиватор",G14/(m_ET*g),"")</f>
        <v/>
      </c>
      <c r="I14" s="11" t="n">
        <f aca="false">IF(A14="культиватор",-LN(1-H14/phi_max)/k_slip,slip_till)</f>
        <v>0</v>
      </c>
      <c r="J14" s="11" t="str">
        <f aca="false">IF(A14="культиватор",G14/(m_D*g),"")</f>
        <v/>
      </c>
      <c r="K14" s="11" t="n">
        <f aca="false">IF(A14="культиватор",-LN(1-J14/phi_max)/k_slip,slip_till)</f>
        <v>0</v>
      </c>
      <c r="L14" s="12" t="n">
        <f aca="false">IF(A14="культиватор",P_aux+M14/eta_ep,P_aux+c_move*E14+P_rot0+F14*D14*B14*E14)</f>
        <v>13.3280173405397</v>
      </c>
      <c r="M14" s="12" t="n">
        <f aca="false">IF(A14="культиватор",(G14+f_roll*m_ET*g)*E14/(1-I14)/eta_tr/1000,eta_ep*(L14-P_aux))</f>
        <v>11.5702552596749</v>
      </c>
      <c r="N14" s="12" t="n">
        <f aca="false">IF(A14="культиватор",(G14+f_roll*m_D*g)*E14/(1-K14)/eta_tr/1000,eta_ep*(c_move*E14*m_D/m_ET+P_rot0+F14*D14*B14*E14))+P_hyd_idle_D</f>
        <v>11.5530207752151</v>
      </c>
      <c r="O14" s="18" t="n">
        <f aca="false">1-L14*(1+2*cv_P)/P_el_lim</f>
        <v>0.189019847266803</v>
      </c>
      <c r="P14" s="18" t="n">
        <f aca="false">1-N14*(1+2*cv_P)/P_pto_nom</f>
        <v>0.257121230060572</v>
      </c>
      <c r="Q14" s="19" t="b">
        <f aca="false">AND(O14&gt;=0,I14&lt;=slip_max)</f>
        <v>1</v>
      </c>
      <c r="R14" s="19" t="b">
        <f aca="false">AND(P14&gt;=0,K14&lt;=slip_max)</f>
        <v>1</v>
      </c>
      <c r="S14" s="19" t="b">
        <f aca="false">AND(Q14,M14&lt;=P_mot_1h)</f>
        <v>1</v>
      </c>
      <c r="T14" s="12" t="n">
        <f aca="false">k_D*(sfc_a*N14+sfc_b*P_pto_nom)</f>
        <v>4.13142457054732</v>
      </c>
      <c r="U14" s="12" t="n">
        <f aca="false">N14/P_pto_nom</f>
        <v>0.697646182078205</v>
      </c>
    </row>
    <row r="15" customFormat="false" ht="15" hidden="false" customHeight="false" outlineLevel="0" collapsed="false">
      <c r="A15" s="17" t="str">
        <f aca="false">Опыт_режимы!A15</f>
        <v>фреза</v>
      </c>
      <c r="B15" s="17" t="n">
        <f aca="false">Опыт_режимы!B15</f>
        <v>0.12</v>
      </c>
      <c r="C15" s="17" t="n">
        <f aca="false">Опыт_режимы!C15</f>
        <v>3.6</v>
      </c>
      <c r="D15" s="6" t="n">
        <f aca="false">IF(A15="культиватор",1.2,1.25)</f>
        <v>1.25</v>
      </c>
      <c r="E15" s="11" t="n">
        <f aca="false">C15/3.6</f>
        <v>1</v>
      </c>
      <c r="F15" s="13" t="n">
        <f aca="false">IF(A15="культиватор","",A_0+A_v*C15+A_a*B15)</f>
        <v>85.1780573848587</v>
      </c>
      <c r="G15" s="14" t="str">
        <f aca="false">IF(A15="культиватор",D15*B15*(k_0+eps*E15^2),"")</f>
        <v/>
      </c>
      <c r="H15" s="11" t="str">
        <f aca="false">IF(A15="культиватор",G15/(m_ET*g),"")</f>
        <v/>
      </c>
      <c r="I15" s="11" t="n">
        <f aca="false">IF(A15="культиватор",-LN(1-H15/phi_max)/k_slip,slip_till)</f>
        <v>0</v>
      </c>
      <c r="J15" s="11" t="str">
        <f aca="false">IF(A15="культиватор",G15/(m_D*g),"")</f>
        <v/>
      </c>
      <c r="K15" s="11" t="n">
        <f aca="false">IF(A15="культиватор",-LN(1-J15/phi_max)/k_slip,slip_till)</f>
        <v>0</v>
      </c>
      <c r="L15" s="12" t="n">
        <f aca="false">IF(A15="культиватор",P_aux+M15/eta_ep,P_aux+c_move*E15+P_rot0+F15*D15*B15*E15)</f>
        <v>15.9966664656628</v>
      </c>
      <c r="M15" s="12" t="n">
        <f aca="false">IF(A15="культиватор",(G15+f_roll*m_ET*g)*E15/(1-I15)/eta_tr/1000,eta_ep*(L15-P_aux))</f>
        <v>13.9186664897833</v>
      </c>
      <c r="N15" s="12" t="n">
        <f aca="false">IF(A15="культиватор",(G15+f_roll*m_D*g)*E15/(1-K15)/eta_tr/1000,eta_ep*(c_move*E15*m_D/m_ET+P_rot0+F15*D15*B15*E15))+P_hyd_idle_D</f>
        <v>13.8456871771701</v>
      </c>
      <c r="O15" s="18" t="n">
        <f aca="false">1-L15*(1+2*cv_P)/P_el_lim</f>
        <v>0.0266384952782565</v>
      </c>
      <c r="P15" s="18" t="n">
        <f aca="false">1-N15*(1+2*cv_P)/P_pto_nom</f>
        <v>0.109698903925779</v>
      </c>
      <c r="Q15" s="19" t="b">
        <f aca="false">AND(O15&gt;=0,I15&lt;=slip_max)</f>
        <v>1</v>
      </c>
      <c r="R15" s="19" t="b">
        <f aca="false">AND(P15&gt;=0,K15&lt;=slip_max)</f>
        <v>1</v>
      </c>
      <c r="S15" s="19" t="b">
        <f aca="false">AND(Q15,M15&lt;=P_mot_1h)</f>
        <v>0</v>
      </c>
      <c r="T15" s="12" t="n">
        <f aca="false">k_D*(sfc_a*N15+sfc_b*P_pto_nom)</f>
        <v>4.63581117897742</v>
      </c>
      <c r="U15" s="12" t="n">
        <f aca="false">N15/P_pto_nom</f>
        <v>0.836092220843605</v>
      </c>
    </row>
    <row r="16" customFormat="false" ht="15" hidden="false" customHeight="false" outlineLevel="0" collapsed="false">
      <c r="A16" s="17" t="str">
        <f aca="false">Опыт_режимы!A16</f>
        <v>фреза</v>
      </c>
      <c r="B16" s="17" t="n">
        <f aca="false">Опыт_режимы!B16</f>
        <v>0.16</v>
      </c>
      <c r="C16" s="17" t="n">
        <f aca="false">Опыт_режимы!C16</f>
        <v>1.8</v>
      </c>
      <c r="D16" s="6" t="n">
        <f aca="false">IF(A16="культиватор",1.2,1.25)</f>
        <v>1.25</v>
      </c>
      <c r="E16" s="11" t="n">
        <f aca="false">C16/3.6</f>
        <v>0.5</v>
      </c>
      <c r="F16" s="13" t="n">
        <f aca="false">IF(A16="культиватор","",A_0+A_v*C16+A_a*B16)</f>
        <v>102.54178607493</v>
      </c>
      <c r="G16" s="14" t="str">
        <f aca="false">IF(A16="культиватор",D16*B16*(k_0+eps*E16^2),"")</f>
        <v/>
      </c>
      <c r="H16" s="11" t="str">
        <f aca="false">IF(A16="культиватор",G16/(m_ET*g),"")</f>
        <v/>
      </c>
      <c r="I16" s="11" t="n">
        <f aca="false">IF(A16="культиватор",-LN(1-H16/phi_max)/k_slip,slip_till)</f>
        <v>0</v>
      </c>
      <c r="J16" s="11" t="str">
        <f aca="false">IF(A16="культиватор",G16/(m_D*g),"")</f>
        <v/>
      </c>
      <c r="K16" s="11" t="n">
        <f aca="false">IF(A16="культиватор",-LN(1-J16/phi_max)/k_slip,slip_till)</f>
        <v>0</v>
      </c>
      <c r="L16" s="12" t="n">
        <f aca="false">IF(A16="культиватор",P_aux+M16/eta_ep,P_aux+c_move*E16+P_rot0+F16*D16*B16*E16)</f>
        <v>12.44475753646</v>
      </c>
      <c r="M16" s="12" t="n">
        <f aca="false">IF(A16="культиватор",(G16+f_roll*m_ET*g)*E16/(1-I16)/eta_tr/1000,eta_ep*(L16-P_aux))</f>
        <v>10.7929866320848</v>
      </c>
      <c r="N16" s="12" t="n">
        <f aca="false">IF(A16="культиватор",(G16+f_roll*m_D*g)*E16/(1-K16)/eta_tr/1000,eta_ep*(c_move*E16*m_D/m_ET+P_rot0+F16*D16*B16*E16))+P_hyd_idle_D</f>
        <v>10.8314969757782</v>
      </c>
      <c r="O16" s="18" t="n">
        <f aca="false">1-L16*(1+2*cv_P)/P_el_lim</f>
        <v>0.242764237937492</v>
      </c>
      <c r="P16" s="18" t="n">
        <f aca="false">1-N16*(1+2*cv_P)/P_pto_nom</f>
        <v>0.303516430332141</v>
      </c>
      <c r="Q16" s="19" t="b">
        <f aca="false">AND(O16&gt;=0,I16&lt;=slip_max)</f>
        <v>1</v>
      </c>
      <c r="R16" s="19" t="b">
        <f aca="false">AND(P16&gt;=0,K16&lt;=slip_max)</f>
        <v>1</v>
      </c>
      <c r="S16" s="19" t="b">
        <f aca="false">AND(Q16,M16&lt;=P_mot_1h)</f>
        <v>1</v>
      </c>
      <c r="T16" s="12" t="n">
        <f aca="false">k_D*(sfc_a*N16+sfc_b*P_pto_nom)</f>
        <v>3.9726893346712</v>
      </c>
      <c r="U16" s="12" t="n">
        <f aca="false">N16/P_pto_nom</f>
        <v>0.654075904334432</v>
      </c>
    </row>
    <row r="17" customFormat="false" ht="15" hidden="false" customHeight="false" outlineLevel="0" collapsed="false">
      <c r="A17" s="17" t="str">
        <f aca="false">Опыт_режимы!A17</f>
        <v>фреза</v>
      </c>
      <c r="B17" s="17" t="n">
        <f aca="false">Опыт_режимы!B17</f>
        <v>0.16</v>
      </c>
      <c r="C17" s="17" t="n">
        <f aca="false">Опыт_режимы!C17</f>
        <v>2.7</v>
      </c>
      <c r="D17" s="6" t="n">
        <f aca="false">IF(A17="культиватор",1.2,1.25)</f>
        <v>1.25</v>
      </c>
      <c r="E17" s="11" t="n">
        <f aca="false">C17/3.6</f>
        <v>0.75</v>
      </c>
      <c r="F17" s="13" t="n">
        <f aca="false">IF(A17="культиватор","",A_0+A_v*C17+A_a*B17)</f>
        <v>93.295408374551</v>
      </c>
      <c r="G17" s="14" t="str">
        <f aca="false">IF(A17="культиватор",D17*B17*(k_0+eps*E17^2),"")</f>
        <v/>
      </c>
      <c r="H17" s="11" t="str">
        <f aca="false">IF(A17="культиватор",G17/(m_ET*g),"")</f>
        <v/>
      </c>
      <c r="I17" s="11" t="n">
        <f aca="false">IF(A17="культиватор",-LN(1-H17/phi_max)/k_slip,slip_till)</f>
        <v>0</v>
      </c>
      <c r="J17" s="11" t="str">
        <f aca="false">IF(A17="культиватор",G17/(m_D*g),"")</f>
        <v/>
      </c>
      <c r="K17" s="11" t="n">
        <f aca="false">IF(A17="культиватор",-LN(1-J17/phi_max)/k_slip,slip_till)</f>
        <v>0</v>
      </c>
      <c r="L17" s="12" t="n">
        <f aca="false">IF(A17="культиватор",P_aux+M17/eta_ep,P_aux+c_move*E17+P_rot0+F17*D17*B17*E17)</f>
        <v>16.6995796496331</v>
      </c>
      <c r="M17" s="12" t="n">
        <f aca="false">IF(A17="культиватор",(G17+f_roll*m_ET*g)*E17/(1-I17)/eta_tr/1000,eta_ep*(L17-P_aux))</f>
        <v>14.5372300916772</v>
      </c>
      <c r="N17" s="12" t="n">
        <f aca="false">IF(A17="культиватор",(G17+f_roll*m_D*g)*E17/(1-K17)/eta_tr/1000,eta_ep*(c_move*E17*m_D/m_ET+P_rot0+F17*D17*B17*E17))+P_hyd_idle_D</f>
        <v>14.5199956072173</v>
      </c>
      <c r="O17" s="18" t="n">
        <f aca="false">1-L17*(1+2*cv_P)/P_el_lim</f>
        <v>-0.0161322054741009</v>
      </c>
      <c r="P17" s="18" t="n">
        <f aca="false">1-N17*(1+2*cv_P)/P_pto_nom</f>
        <v>0.0663397317387173</v>
      </c>
      <c r="Q17" s="19" t="b">
        <f aca="false">AND(O17&gt;=0,I17&lt;=slip_max)</f>
        <v>0</v>
      </c>
      <c r="R17" s="19" t="b">
        <f aca="false">AND(P17&gt;=0,K17&lt;=slip_max)</f>
        <v>1</v>
      </c>
      <c r="S17" s="19" t="b">
        <f aca="false">AND(Q17,M17&lt;=P_mot_1h)</f>
        <v>0</v>
      </c>
      <c r="T17" s="12" t="n">
        <f aca="false">k_D*(sfc_a*N17+sfc_b*P_pto_nom)</f>
        <v>4.78415903358781</v>
      </c>
      <c r="U17" s="12" t="n">
        <f aca="false">N17/P_pto_nom</f>
        <v>0.876811328938243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4" min="2" style="0" width="10"/>
  </cols>
  <sheetData>
    <row r="1" customFormat="false" ht="45" hidden="false" customHeight="true" outlineLevel="0" collapsed="false">
      <c r="A1" s="4" t="s">
        <v>353</v>
      </c>
      <c r="B1" s="4" t="s">
        <v>257</v>
      </c>
      <c r="C1" s="4" t="s">
        <v>354</v>
      </c>
      <c r="D1" s="4" t="s">
        <v>355</v>
      </c>
      <c r="E1" s="4" t="s">
        <v>356</v>
      </c>
      <c r="F1" s="4" t="s">
        <v>357</v>
      </c>
      <c r="G1" s="4" t="s">
        <v>358</v>
      </c>
      <c r="H1" s="4" t="s">
        <v>359</v>
      </c>
      <c r="I1" s="4" t="s">
        <v>360</v>
      </c>
      <c r="J1" s="4" t="s">
        <v>361</v>
      </c>
      <c r="K1" s="4" t="s">
        <v>362</v>
      </c>
      <c r="L1" s="4" t="s">
        <v>363</v>
      </c>
      <c r="M1" s="4" t="s">
        <v>364</v>
      </c>
      <c r="N1" s="4" t="s">
        <v>365</v>
      </c>
      <c r="O1" s="4" t="s">
        <v>366</v>
      </c>
      <c r="P1" s="4" t="s">
        <v>367</v>
      </c>
      <c r="Q1" s="4" t="s">
        <v>368</v>
      </c>
      <c r="R1" s="4" t="s">
        <v>369</v>
      </c>
      <c r="S1" s="4" t="s">
        <v>370</v>
      </c>
      <c r="T1" s="4" t="s">
        <v>371</v>
      </c>
      <c r="U1" s="4" t="s">
        <v>372</v>
      </c>
      <c r="V1" s="4" t="s">
        <v>373</v>
      </c>
      <c r="W1" s="4" t="s">
        <v>374</v>
      </c>
      <c r="X1" s="4" t="s">
        <v>375</v>
      </c>
    </row>
    <row r="2" customFormat="false" ht="15" hidden="false" customHeight="false" outlineLevel="0" collapsed="false">
      <c r="A2" s="17" t="str">
        <f aca="false">Энергетика!A2&amp;" "&amp;Энергетика!B2&amp;"×"&amp;Энергетика!C2</f>
        <v>культиватор 0.08×3.6</v>
      </c>
      <c r="B2" s="11" t="n">
        <f aca="false">0.1*Энергетика!D2*Энергетика!C2</f>
        <v>0.432</v>
      </c>
      <c r="C2" s="12" t="n">
        <f aca="false">10000/(Энергетика!D2*L_run_m)</f>
        <v>27.7777777777778</v>
      </c>
      <c r="D2" s="11" t="n">
        <f aca="false">1/B2+C2*turn_t/3600</f>
        <v>2.56322530864198</v>
      </c>
      <c r="E2" s="12" t="n">
        <f aca="false">Энергетика!L2/B2+C2*turn_P*turn_t/3600</f>
        <v>18.2739067074004</v>
      </c>
      <c r="F2" s="12" t="n">
        <f aca="false">E2/D2</f>
        <v>7.12926274790962</v>
      </c>
      <c r="G2" s="12" t="n">
        <f aca="false">E_use/F2</f>
        <v>2.22715876261618</v>
      </c>
      <c r="H2" s="11" t="n">
        <f aca="false">G2/D2</f>
        <v>0.868889190157127</v>
      </c>
      <c r="I2" s="12" t="n">
        <f aca="false">(E_use-2*E_tr)/F2</f>
        <v>2.11239488770896</v>
      </c>
      <c r="J2" s="12" t="n">
        <f aca="false">MAX(0,MIN(I2,T_av-2*t_tr))</f>
        <v>2.11239488770896</v>
      </c>
      <c r="K2" s="19" t="b">
        <f aca="false">AND(T_av-(t_tr+J2)-t_tr&gt;0.000001,T_av-(t_tr+J2)-2*t_tr-t_ch&gt;=0.25)</f>
        <v>0</v>
      </c>
      <c r="L2" s="12" t="n">
        <f aca="false">IF(K2,MAX(0,MIN(I2,T_av-(t_tr+J2+2*t_tr+t_ch)-t_tr)),0)</f>
        <v>0</v>
      </c>
      <c r="M2" s="19" t="b">
        <f aca="false">AND(K2,L2&gt;0,T_av-(t_tr+J2+2*t_tr+t_ch+L2)-t_tr&gt;0.000001,T_av-(t_tr+J2+2*t_tr+t_ch+L2)-2*t_tr-t_ch&gt;=0.25)</f>
        <v>0</v>
      </c>
      <c r="N2" s="12" t="n">
        <f aca="false">IF(M2,MAX(0,MIN(I2,T_av-((t_tr+J2+2*t_tr+t_ch+L2)+2*t_tr+t_ch)-t_tr)),0)</f>
        <v>0</v>
      </c>
      <c r="O2" s="14" t="n">
        <f aca="false">K2*1+M2*1</f>
        <v>0</v>
      </c>
      <c r="P2" s="11" t="n">
        <f aca="false">(J2+L2+N2)/D2</f>
        <v>0.824115960694897</v>
      </c>
      <c r="Q2" s="12" t="n">
        <f aca="false">(E2+E_tr*(2+2*O2)/P2)/(eta_ch*eta_bat)</f>
        <v>22.0442861458494</v>
      </c>
      <c r="R2" s="12" t="n">
        <f aca="false">Энергетика!T2/B2+C2*turn_t/3600*Q_turn</f>
        <v>7.50354060648583</v>
      </c>
      <c r="S2" s="12" t="n">
        <f aca="false">R2/D2</f>
        <v>2.92738238077919</v>
      </c>
      <c r="T2" s="12" t="n">
        <f aca="false">tank_D/S2</f>
        <v>7.51524643464724</v>
      </c>
      <c r="U2" s="12" t="n">
        <f aca="false">MAX(0,((T_av-2*t_tr)*S2+2*t_tr*Q_tr)/tank_D-1)</f>
        <v>0</v>
      </c>
      <c r="V2" s="11" t="n">
        <f aca="false">(T_av-2*t_tr-U2*t_refuel_h)/D2</f>
        <v>2.8207156997683</v>
      </c>
      <c r="W2" s="12" t="n">
        <f aca="false">R2+2*t_tr*Q_tr/V2</f>
        <v>7.6260924694986</v>
      </c>
      <c r="X2" s="11" t="n">
        <f aca="false">T2/D2</f>
        <v>2.93194921621186</v>
      </c>
    </row>
    <row r="3" customFormat="false" ht="15" hidden="false" customHeight="false" outlineLevel="0" collapsed="false">
      <c r="A3" s="17" t="str">
        <f aca="false">Энергетика!A3&amp;" "&amp;Энергетика!B3&amp;"×"&amp;Энергетика!C3</f>
        <v>культиватор 0.08×4.5</v>
      </c>
      <c r="B3" s="11" t="n">
        <f aca="false">0.1*Энергетика!D3*Энергетика!C3</f>
        <v>0.54</v>
      </c>
      <c r="C3" s="12" t="n">
        <f aca="false">10000/(Энергетика!D3*L_run_m)</f>
        <v>27.7777777777778</v>
      </c>
      <c r="D3" s="11" t="n">
        <f aca="false">1/B3+C3*turn_t/3600</f>
        <v>2.10026234567901</v>
      </c>
      <c r="E3" s="12" t="n">
        <f aca="false">Энергетика!L3/B3+C3*turn_P*turn_t/3600</f>
        <v>18.5752479909274</v>
      </c>
      <c r="F3" s="12" t="n">
        <f aca="false">E3/D3</f>
        <v>8.8442513046731</v>
      </c>
      <c r="G3" s="12" t="n">
        <f aca="false">E_use/F3</f>
        <v>1.79529046077766</v>
      </c>
      <c r="H3" s="11" t="n">
        <f aca="false">G3/D3</f>
        <v>0.85479343305431</v>
      </c>
      <c r="I3" s="12" t="n">
        <f aca="false">(E_use-2*E_tr)/F3</f>
        <v>1.70278044608037</v>
      </c>
      <c r="J3" s="12" t="n">
        <f aca="false">MAX(0,MIN(I3,T_av-2*t_tr))</f>
        <v>1.70278044608037</v>
      </c>
      <c r="K3" s="19" t="b">
        <f aca="false">AND(T_av-(t_tr+J3)-t_tr&gt;0.000001,T_av-(t_tr+J3)-2*t_tr-t_ch&gt;=0.25)</f>
        <v>1</v>
      </c>
      <c r="L3" s="12" t="n">
        <f aca="false">IF(K3,MAX(0,MIN(I3,T_av-(t_tr+J3+2*t_tr+t_ch)-t_tr)),0)</f>
        <v>0.206894135630823</v>
      </c>
      <c r="M3" s="19" t="b">
        <f aca="false">AND(K3,L3&gt;0,T_av-(t_tr+J3+2*t_tr+t_ch+L3)-t_tr&gt;0.000001,T_av-(t_tr+J3+2*t_tr+t_ch+L3)-2*t_tr-t_ch&gt;=0.25)</f>
        <v>0</v>
      </c>
      <c r="N3" s="12" t="n">
        <f aca="false">IF(M3,MAX(0,MIN(I3,T_av-((t_tr+J3+2*t_tr+t_ch+L3)+2*t_tr+t_ch)-t_tr)),0)</f>
        <v>0</v>
      </c>
      <c r="O3" s="14" t="n">
        <f aca="false">K3*1+M3*1</f>
        <v>1</v>
      </c>
      <c r="P3" s="11" t="n">
        <f aca="false">(J3+L3+N3)/D3</f>
        <v>0.909255258344309</v>
      </c>
      <c r="Q3" s="12" t="n">
        <f aca="false">(E3+E_tr*(2+2*O3)/P3)/(eta_ch*eta_bat)</f>
        <v>23.3122684647875</v>
      </c>
      <c r="R3" s="12" t="n">
        <f aca="false">Энергетика!T3/B3+C3*turn_t/3600*Q_turn</f>
        <v>6.8292247613498</v>
      </c>
      <c r="S3" s="12" t="n">
        <f aca="false">R3/D3</f>
        <v>3.25160557936962</v>
      </c>
      <c r="T3" s="12" t="n">
        <f aca="false">tank_D/S3</f>
        <v>6.7658882552001</v>
      </c>
      <c r="U3" s="12" t="n">
        <f aca="false">MAX(0,((T_av-2*t_tr)*S3+2*t_tr*Q_tr)/tank_D-1)</f>
        <v>0.0843279358780533</v>
      </c>
      <c r="V3" s="11" t="n">
        <f aca="false">(T_av-2*t_tr-U3*t_refuel_h)/D3</f>
        <v>3.43646625603563</v>
      </c>
      <c r="W3" s="12" t="n">
        <f aca="false">R3+2*t_tr*Q_tr/V3</f>
        <v>6.92981761990874</v>
      </c>
      <c r="X3" s="11" t="n">
        <f aca="false">T3/D3</f>
        <v>3.22144910568908</v>
      </c>
    </row>
    <row r="4" customFormat="false" ht="15" hidden="false" customHeight="false" outlineLevel="0" collapsed="false">
      <c r="A4" s="17" t="str">
        <f aca="false">Энергетика!A4&amp;" "&amp;Энергетика!B4&amp;"×"&amp;Энергетика!C4</f>
        <v>культиватор 0.08×5.4</v>
      </c>
      <c r="B4" s="11" t="n">
        <f aca="false">0.1*Энергетика!D4*Энергетика!C4</f>
        <v>0.648</v>
      </c>
      <c r="C4" s="12" t="n">
        <f aca="false">10000/(Энергетика!D4*L_run_m)</f>
        <v>27.7777777777778</v>
      </c>
      <c r="D4" s="11" t="n">
        <f aca="false">1/B4+C4*turn_t/3600</f>
        <v>1.79162037037037</v>
      </c>
      <c r="E4" s="12" t="n">
        <f aca="false">Энергетика!L4/B4+C4*turn_P*turn_t/3600</f>
        <v>18.9933791241486</v>
      </c>
      <c r="F4" s="12" t="n">
        <f aca="false">E4/D4</f>
        <v>10.601229723807</v>
      </c>
      <c r="G4" s="12" t="n">
        <f aca="false">E_use/F4</f>
        <v>1.49775077171877</v>
      </c>
      <c r="H4" s="11" t="n">
        <f aca="false">G4/D4</f>
        <v>0.835975520533489</v>
      </c>
      <c r="I4" s="12" t="n">
        <f aca="false">(E_use-2*E_tr)/F4</f>
        <v>1.42057276129</v>
      </c>
      <c r="J4" s="12" t="n">
        <f aca="false">MAX(0,MIN(I4,T_av-2*t_tr))</f>
        <v>1.42057276129</v>
      </c>
      <c r="K4" s="19" t="b">
        <f aca="false">AND(T_av-(t_tr+J4)-t_tr&gt;0.000001,T_av-(t_tr+J4)-2*t_tr-t_ch&gt;=0.25)</f>
        <v>1</v>
      </c>
      <c r="L4" s="12" t="n">
        <f aca="false">IF(K4,MAX(0,MIN(I4,T_av-(t_tr+J4+2*t_tr+t_ch)-t_tr)),0)</f>
        <v>0.489101820421197</v>
      </c>
      <c r="M4" s="19" t="b">
        <f aca="false">AND(K4,L4&gt;0,T_av-(t_tr+J4+2*t_tr+t_ch+L4)-t_tr&gt;0.000001,T_av-(t_tr+J4+2*t_tr+t_ch+L4)-2*t_tr-t_ch&gt;=0.25)</f>
        <v>0</v>
      </c>
      <c r="N4" s="12" t="n">
        <f aca="false">IF(M4,MAX(0,MIN(I4,T_av-((t_tr+J4+2*t_tr+t_ch+L4)+2*t_tr+t_ch)-t_tr)),0)</f>
        <v>0</v>
      </c>
      <c r="O4" s="14" t="n">
        <f aca="false">K4*1+M4*1</f>
        <v>1</v>
      </c>
      <c r="P4" s="11" t="n">
        <f aca="false">(J4+L4+N4)/D4</f>
        <v>1.06589242525548</v>
      </c>
      <c r="Q4" s="12" t="n">
        <f aca="false">(E4+E_tr*(2+2*O4)/P4)/(eta_ch*eta_bat)</f>
        <v>23.4880827963317</v>
      </c>
      <c r="R4" s="12" t="n">
        <f aca="false">Энергетика!T4/B4+C4*turn_t/3600*Q_turn</f>
        <v>6.42335490538235</v>
      </c>
      <c r="S4" s="12" t="n">
        <f aca="false">R4/D4</f>
        <v>3.58522096065166</v>
      </c>
      <c r="T4" s="12" t="n">
        <f aca="false">tank_D/S4</f>
        <v>6.13630240407866</v>
      </c>
      <c r="U4" s="12" t="n">
        <f aca="false">MAX(0,((T_av-2*t_tr)*S4+2*t_tr*Q_tr)/tank_D-1)</f>
        <v>0.193968051029966</v>
      </c>
      <c r="V4" s="11" t="n">
        <f aca="false">(T_av-2*t_tr-U4*t_refuel_h)/D4</f>
        <v>4.0192859947148</v>
      </c>
      <c r="W4" s="12" t="n">
        <f aca="false">R4+2*t_tr*Q_tr/V4</f>
        <v>6.50936121707316</v>
      </c>
      <c r="X4" s="11" t="n">
        <f aca="false">T4/D4</f>
        <v>3.42500147104832</v>
      </c>
    </row>
    <row r="5" customFormat="false" ht="15" hidden="false" customHeight="false" outlineLevel="0" collapsed="false">
      <c r="A5" s="17" t="str">
        <f aca="false">Энергетика!A5&amp;" "&amp;Энергетика!B5&amp;"×"&amp;Энергетика!C5</f>
        <v>культиватор 0.11×3.6</v>
      </c>
      <c r="B5" s="11" t="n">
        <f aca="false">0.1*Энергетика!D5*Энергетика!C5</f>
        <v>0.432</v>
      </c>
      <c r="C5" s="12" t="n">
        <f aca="false">10000/(Энергетика!D5*L_run_m)</f>
        <v>27.7777777777778</v>
      </c>
      <c r="D5" s="11" t="n">
        <f aca="false">1/B5+C5*turn_t/3600</f>
        <v>2.56322530864198</v>
      </c>
      <c r="E5" s="12" t="n">
        <f aca="false">Энергетика!L5/B5+C5*turn_P*turn_t/3600</f>
        <v>23.1907617379398</v>
      </c>
      <c r="F5" s="12" t="n">
        <f aca="false">E5/D5</f>
        <v>9.04749249305225</v>
      </c>
      <c r="G5" s="12" t="n">
        <f aca="false">E_use/F5</f>
        <v>1.75496138982077</v>
      </c>
      <c r="H5" s="11" t="n">
        <f aca="false">G5/D5</f>
        <v>0.68466918764569</v>
      </c>
      <c r="I5" s="12" t="n">
        <f aca="false">(E_use-2*E_tr)/F5</f>
        <v>1.66452950288524</v>
      </c>
      <c r="J5" s="12" t="n">
        <f aca="false">MAX(0,MIN(I5,T_av-2*t_tr))</f>
        <v>1.66452950288524</v>
      </c>
      <c r="K5" s="19" t="b">
        <f aca="false">AND(T_av-(t_tr+J5)-t_tr&gt;0.000001,T_av-(t_tr+J5)-2*t_tr-t_ch&gt;=0.25)</f>
        <v>1</v>
      </c>
      <c r="L5" s="12" t="n">
        <f aca="false">IF(K5,MAX(0,MIN(I5,T_av-(t_tr+J5+2*t_tr+t_ch)-t_tr)),0)</f>
        <v>0.245145078825958</v>
      </c>
      <c r="M5" s="19" t="b">
        <f aca="false">AND(K5,L5&gt;0,T_av-(t_tr+J5+2*t_tr+t_ch+L5)-t_tr&gt;0.000001,T_av-(t_tr+J5+2*t_tr+t_ch+L5)-2*t_tr-t_ch&gt;=0.25)</f>
        <v>0</v>
      </c>
      <c r="N5" s="12" t="n">
        <f aca="false">IF(M5,MAX(0,MIN(I5,T_av-((t_tr+J5+2*t_tr+t_ch+L5)+2*t_tr+t_ch)-t_tr)),0)</f>
        <v>0</v>
      </c>
      <c r="O5" s="14" t="n">
        <f aca="false">K5*1+M5*1</f>
        <v>1</v>
      </c>
      <c r="P5" s="11" t="n">
        <f aca="false">(J5+L5+N5)/D5</f>
        <v>0.745027983015259</v>
      </c>
      <c r="Q5" s="12" t="n">
        <f aca="false">(E5+E_tr*(2+2*O5)/P5)/(eta_ch*eta_bat)</f>
        <v>29.0470715061946</v>
      </c>
      <c r="R5" s="12" t="n">
        <f aca="false">Энергетика!T5/B5+C5*turn_t/3600*Q_turn</f>
        <v>8.50115523538828</v>
      </c>
      <c r="S5" s="12" t="n">
        <f aca="false">R5/D5</f>
        <v>3.31658524388255</v>
      </c>
      <c r="T5" s="12" t="n">
        <f aca="false">tank_D/S5</f>
        <v>6.63332867459959</v>
      </c>
      <c r="U5" s="12" t="n">
        <f aca="false">MAX(0,((T_av-2*t_tr)*S5+2*t_tr*Q_tr)/tank_D-1)</f>
        <v>0.105683000121053</v>
      </c>
      <c r="V5" s="11" t="n">
        <f aca="false">(T_av-2*t_tr-U5*t_refuel_h)/D5</f>
        <v>2.81453112833609</v>
      </c>
      <c r="W5" s="12" t="n">
        <f aca="false">R5+2*t_tr*Q_tr/V5</f>
        <v>8.62397639041324</v>
      </c>
      <c r="X5" s="11" t="n">
        <f aca="false">T5/D5</f>
        <v>2.58788357474279</v>
      </c>
    </row>
    <row r="6" customFormat="false" ht="15" hidden="false" customHeight="false" outlineLevel="0" collapsed="false">
      <c r="A6" s="17" t="str">
        <f aca="false">Энергетика!A6&amp;" "&amp;Энергетика!B6&amp;"×"&amp;Энергетика!C6</f>
        <v>культиватор 0.11×4.5</v>
      </c>
      <c r="B6" s="11" t="n">
        <f aca="false">0.1*Энергетика!D6*Энергетика!C6</f>
        <v>0.54</v>
      </c>
      <c r="C6" s="12" t="n">
        <f aca="false">10000/(Энергетика!D6*L_run_m)</f>
        <v>27.7777777777778</v>
      </c>
      <c r="D6" s="11" t="n">
        <f aca="false">1/B6+C6*turn_t/3600</f>
        <v>2.10026234567901</v>
      </c>
      <c r="E6" s="12" t="n">
        <f aca="false">Энергетика!L6/B6+C6*turn_P*turn_t/3600</f>
        <v>23.6911942989034</v>
      </c>
      <c r="F6" s="12" t="n">
        <f aca="false">E6/D6</f>
        <v>11.2801119096596</v>
      </c>
      <c r="G6" s="12" t="n">
        <f aca="false">E_use/F6</f>
        <v>1.40761014847761</v>
      </c>
      <c r="H6" s="11" t="n">
        <f aca="false">G6/D6</f>
        <v>0.670206820292505</v>
      </c>
      <c r="I6" s="12" t="n">
        <f aca="false">(E_use-2*E_tr)/F6</f>
        <v>1.33507701895421</v>
      </c>
      <c r="J6" s="12" t="n">
        <f aca="false">MAX(0,MIN(I6,T_av-2*t_tr))</f>
        <v>1.33507701895421</v>
      </c>
      <c r="K6" s="19" t="b">
        <f aca="false">AND(T_av-(t_tr+J6)-t_tr&gt;0.000001,T_av-(t_tr+J6)-2*t_tr-t_ch&gt;=0.25)</f>
        <v>1</v>
      </c>
      <c r="L6" s="12" t="n">
        <f aca="false">IF(K6,MAX(0,MIN(I6,T_av-(t_tr+J6+2*t_tr+t_ch)-t_tr)),0)</f>
        <v>0.574597562756988</v>
      </c>
      <c r="M6" s="19" t="b">
        <f aca="false">AND(K6,L6&gt;0,T_av-(t_tr+J6+2*t_tr+t_ch+L6)-t_tr&gt;0.000001,T_av-(t_tr+J6+2*t_tr+t_ch+L6)-2*t_tr-t_ch&gt;=0.25)</f>
        <v>0</v>
      </c>
      <c r="N6" s="12" t="n">
        <f aca="false">IF(M6,MAX(0,MIN(I6,T_av-((t_tr+J6+2*t_tr+t_ch+L6)+2*t_tr+t_ch)-t_tr)),0)</f>
        <v>0</v>
      </c>
      <c r="O6" s="14" t="n">
        <f aca="false">K6*1+M6*1</f>
        <v>1</v>
      </c>
      <c r="P6" s="11" t="n">
        <f aca="false">(J6+L6+N6)/D6</f>
        <v>0.909255258344309</v>
      </c>
      <c r="Q6" s="12" t="n">
        <f aca="false">(E6+E_tr*(2+2*O6)/P6)/(eta_ch*eta_bat)</f>
        <v>29.165753943021</v>
      </c>
      <c r="R6" s="12" t="n">
        <f aca="false">Энергетика!T6/B6+C6*turn_t/3600*Q_turn</f>
        <v>7.87082676737155</v>
      </c>
      <c r="S6" s="12" t="n">
        <f aca="false">R6/D6</f>
        <v>3.74754457868782</v>
      </c>
      <c r="T6" s="12" t="n">
        <f aca="false">tank_D/S6</f>
        <v>5.87051055379391</v>
      </c>
      <c r="U6" s="12" t="n">
        <f aca="false">MAX(0,((T_av-2*t_tr)*S6+2*t_tr*Q_tr)/tank_D-1)</f>
        <v>0.247314452820456</v>
      </c>
      <c r="V6" s="11" t="n">
        <f aca="false">(T_av-2*t_tr-U6*t_refuel_h)/D6</f>
        <v>3.42482581616789</v>
      </c>
      <c r="W6" s="12" t="n">
        <f aca="false">R6+2*t_tr*Q_tr/V6</f>
        <v>7.97176152510552</v>
      </c>
      <c r="X6" s="11" t="n">
        <f aca="false">T6/D6</f>
        <v>2.79513202999218</v>
      </c>
    </row>
    <row r="7" customFormat="false" ht="15" hidden="false" customHeight="false" outlineLevel="0" collapsed="false">
      <c r="A7" s="17" t="str">
        <f aca="false">Энергетика!A7&amp;" "&amp;Энергетика!B7&amp;"×"&amp;Энергетика!C7</f>
        <v>культиватор 0.11×5.4</v>
      </c>
      <c r="B7" s="11" t="n">
        <f aca="false">0.1*Энергетика!D7*Энергетика!C7</f>
        <v>0.648</v>
      </c>
      <c r="C7" s="12" t="n">
        <f aca="false">10000/(Энергетика!D7*L_run_m)</f>
        <v>27.7777777777778</v>
      </c>
      <c r="D7" s="11" t="n">
        <f aca="false">1/B7+C7*turn_t/3600</f>
        <v>1.79162037037037</v>
      </c>
      <c r="E7" s="12" t="n">
        <f aca="false">Энергетика!L7/B7+C7*turn_P*turn_t/3600</f>
        <v>24.3598341377859</v>
      </c>
      <c r="F7" s="12" t="n">
        <f aca="false">E7/D7</f>
        <v>13.5965378272352</v>
      </c>
      <c r="G7" s="12" t="n">
        <f aca="false">E_use/F7</f>
        <v>1.16779728793861</v>
      </c>
      <c r="H7" s="11" t="n">
        <f aca="false">G7/D7</f>
        <v>0.6518106777817</v>
      </c>
      <c r="I7" s="12" t="n">
        <f aca="false">(E_use-2*E_tr)/F7</f>
        <v>1.10762154109937</v>
      </c>
      <c r="J7" s="12" t="n">
        <f aca="false">MAX(0,MIN(I7,T_av-2*t_tr))</f>
        <v>1.10762154109937</v>
      </c>
      <c r="K7" s="19" t="b">
        <f aca="false">AND(T_av-(t_tr+J7)-t_tr&gt;0.000001,T_av-(t_tr+J7)-2*t_tr-t_ch&gt;=0.25)</f>
        <v>1</v>
      </c>
      <c r="L7" s="12" t="n">
        <f aca="false">IF(K7,MAX(0,MIN(I7,T_av-(t_tr+J7+2*t_tr+t_ch)-t_tr)),0)</f>
        <v>0.802053040611822</v>
      </c>
      <c r="M7" s="19" t="b">
        <f aca="false">AND(K7,L7&gt;0,T_av-(t_tr+J7+2*t_tr+t_ch+L7)-t_tr&gt;0.000001,T_av-(t_tr+J7+2*t_tr+t_ch+L7)-2*t_tr-t_ch&gt;=0.25)</f>
        <v>0</v>
      </c>
      <c r="N7" s="12" t="n">
        <f aca="false">IF(M7,MAX(0,MIN(I7,T_av-((t_tr+J7+2*t_tr+t_ch+L7)+2*t_tr+t_ch)-t_tr)),0)</f>
        <v>0</v>
      </c>
      <c r="O7" s="14" t="n">
        <f aca="false">K7*1+M7*1</f>
        <v>1</v>
      </c>
      <c r="P7" s="11" t="n">
        <f aca="false">(J7+L7+N7)/D7</f>
        <v>1.06589242525548</v>
      </c>
      <c r="Q7" s="12" t="n">
        <f aca="false">(E7+E_tr*(2+2*O7)/P7)/(eta_ch*eta_bat)</f>
        <v>29.6281915075872</v>
      </c>
      <c r="R7" s="12" t="n">
        <f aca="false">Энергетика!T7/B7+C7*turn_t/3600*Q_turn</f>
        <v>7.52098373386446</v>
      </c>
      <c r="S7" s="12" t="n">
        <f aca="false">R7/D7</f>
        <v>4.19786683509838</v>
      </c>
      <c r="T7" s="12" t="n">
        <f aca="false">tank_D/S7</f>
        <v>5.24075699973565</v>
      </c>
      <c r="U7" s="12" t="n">
        <f aca="false">MAX(0,((T_av-2*t_tr)*S7+2*t_tr*Q_tr)/tank_D-1)</f>
        <v>0.39530937996856</v>
      </c>
      <c r="V7" s="11" t="n">
        <f aca="false">(T_av-2*t_tr-U7*t_refuel_h)/D7</f>
        <v>4.0024290757825</v>
      </c>
      <c r="W7" s="12" t="n">
        <f aca="false">R7+2*t_tr*Q_tr/V7</f>
        <v>7.60735227593997</v>
      </c>
      <c r="X7" s="11" t="n">
        <f aca="false">T7/D7</f>
        <v>2.92514925952325</v>
      </c>
    </row>
    <row r="8" customFormat="false" ht="15" hidden="false" customHeight="false" outlineLevel="0" collapsed="false">
      <c r="A8" s="17" t="str">
        <f aca="false">Энергетика!A8&amp;" "&amp;Энергетика!B8&amp;"×"&amp;Энергетика!C8</f>
        <v>культиватор 0.14×3.6</v>
      </c>
      <c r="B8" s="11" t="n">
        <f aca="false">0.1*Энергетика!D8*Энергетика!C8</f>
        <v>0.432</v>
      </c>
      <c r="C8" s="12" t="n">
        <f aca="false">10000/(Энергетика!D8*L_run_m)</f>
        <v>27.7777777777778</v>
      </c>
      <c r="D8" s="11" t="n">
        <f aca="false">1/B8+C8*turn_t/3600</f>
        <v>2.56322530864198</v>
      </c>
      <c r="E8" s="12" t="n">
        <f aca="false">Энергетика!L8/B8+C8*turn_P*turn_t/3600</f>
        <v>28.7157579535488</v>
      </c>
      <c r="F8" s="12" t="n">
        <f aca="false">E8/D8</f>
        <v>11.2029784727597</v>
      </c>
      <c r="G8" s="12" t="n">
        <f aca="false">E_use/F8</f>
        <v>1.41730166121516</v>
      </c>
      <c r="H8" s="11" t="n">
        <f aca="false">G8/D8</f>
        <v>0.552936823944699</v>
      </c>
      <c r="I8" s="12" t="n">
        <f aca="false">(E_use-2*E_tr)/F8</f>
        <v>1.34426913507301</v>
      </c>
      <c r="J8" s="12" t="n">
        <f aca="false">MAX(0,MIN(I8,T_av-2*t_tr))</f>
        <v>1.34426913507301</v>
      </c>
      <c r="K8" s="19" t="b">
        <f aca="false">AND(T_av-(t_tr+J8)-t_tr&gt;0.000001,T_av-(t_tr+J8)-2*t_tr-t_ch&gt;=0.25)</f>
        <v>1</v>
      </c>
      <c r="L8" s="12" t="n">
        <f aca="false">IF(K8,MAX(0,MIN(I8,T_av-(t_tr+J8+2*t_tr+t_ch)-t_tr)),0)</f>
        <v>0.565405446638186</v>
      </c>
      <c r="M8" s="19" t="b">
        <f aca="false">AND(K8,L8&gt;0,T_av-(t_tr+J8+2*t_tr+t_ch+L8)-t_tr&gt;0.000001,T_av-(t_tr+J8+2*t_tr+t_ch+L8)-2*t_tr-t_ch&gt;=0.25)</f>
        <v>0</v>
      </c>
      <c r="N8" s="12" t="n">
        <f aca="false">IF(M8,MAX(0,MIN(I8,T_av-((t_tr+J8+2*t_tr+t_ch+L8)+2*t_tr+t_ch)-t_tr)),0)</f>
        <v>0</v>
      </c>
      <c r="O8" s="14" t="n">
        <f aca="false">K8*1+M8*1</f>
        <v>1</v>
      </c>
      <c r="P8" s="11" t="n">
        <f aca="false">(J8+L8+N8)/D8</f>
        <v>0.745027983015259</v>
      </c>
      <c r="Q8" s="12" t="n">
        <f aca="false">(E8+E_tr*(2+2*O8)/P8)/(eta_ch*eta_bat)</f>
        <v>35.3685774737106</v>
      </c>
      <c r="R8" s="12" t="n">
        <f aca="false">Энергетика!T8/B8+C8*turn_t/3600*Q_turn</f>
        <v>9.68035210185292</v>
      </c>
      <c r="S8" s="12" t="n">
        <f aca="false">R8/D8</f>
        <v>3.77662941654617</v>
      </c>
      <c r="T8" s="12" t="n">
        <f aca="false">tank_D/S8</f>
        <v>5.82530017470435</v>
      </c>
      <c r="U8" s="12" t="n">
        <f aca="false">MAX(0,((T_av-2*t_tr)*S8+2*t_tr*Q_tr)/tank_D-1)</f>
        <v>0.256872959864435</v>
      </c>
      <c r="V8" s="11" t="n">
        <f aca="false">(T_av-2*t_tr-U8*t_refuel_h)/D8</f>
        <v>2.80568348865141</v>
      </c>
      <c r="W8" s="12" t="n">
        <f aca="false">R8+2*t_tr*Q_tr/V8</f>
        <v>9.80356056974825</v>
      </c>
      <c r="X8" s="11" t="n">
        <f aca="false">T8/D8</f>
        <v>2.27264460719244</v>
      </c>
    </row>
    <row r="9" customFormat="false" ht="15" hidden="false" customHeight="false" outlineLevel="0" collapsed="false">
      <c r="A9" s="17" t="str">
        <f aca="false">Энергетика!A9&amp;" "&amp;Энергетика!B9&amp;"×"&amp;Энергетика!C9</f>
        <v>культиватор 0.14×4.5</v>
      </c>
      <c r="B9" s="11" t="n">
        <f aca="false">0.1*Энергетика!D9*Энергетика!C9</f>
        <v>0.54</v>
      </c>
      <c r="C9" s="12" t="n">
        <f aca="false">10000/(Энергетика!D9*L_run_m)</f>
        <v>27.7777777777778</v>
      </c>
      <c r="D9" s="11" t="n">
        <f aca="false">1/B9+C9*turn_t/3600</f>
        <v>2.10026234567901</v>
      </c>
      <c r="E9" s="12" t="n">
        <f aca="false">Энергетика!L9/B9+C9*turn_P*turn_t/3600</f>
        <v>29.4939834706535</v>
      </c>
      <c r="F9" s="12" t="n">
        <f aca="false">E9/D9</f>
        <v>14.0429996906497</v>
      </c>
      <c r="G9" s="12" t="n">
        <f aca="false">E_use/F9</f>
        <v>1.13067010964702</v>
      </c>
      <c r="H9" s="11" t="n">
        <f aca="false">G9/D9</f>
        <v>0.538347084102715</v>
      </c>
      <c r="I9" s="12" t="n">
        <f aca="false">(E_use-2*E_tr)/F9</f>
        <v>1.07240749936394</v>
      </c>
      <c r="J9" s="12" t="n">
        <f aca="false">MAX(0,MIN(I9,T_av-2*t_tr))</f>
        <v>1.07240749936394</v>
      </c>
      <c r="K9" s="19" t="b">
        <f aca="false">AND(T_av-(t_tr+J9)-t_tr&gt;0.000001,T_av-(t_tr+J9)-2*t_tr-t_ch&gt;=0.25)</f>
        <v>1</v>
      </c>
      <c r="L9" s="12" t="n">
        <f aca="false">IF(K9,MAX(0,MIN(I9,T_av-(t_tr+J9+2*t_tr+t_ch)-t_tr)),0)</f>
        <v>0.837267082347256</v>
      </c>
      <c r="M9" s="19" t="b">
        <f aca="false">AND(K9,L9&gt;0,T_av-(t_tr+J9+2*t_tr+t_ch+L9)-t_tr&gt;0.000001,T_av-(t_tr+J9+2*t_tr+t_ch+L9)-2*t_tr-t_ch&gt;=0.25)</f>
        <v>0</v>
      </c>
      <c r="N9" s="12" t="n">
        <f aca="false">IF(M9,MAX(0,MIN(I9,T_av-((t_tr+J9+2*t_tr+t_ch+L9)+2*t_tr+t_ch)-t_tr)),0)</f>
        <v>0</v>
      </c>
      <c r="O9" s="14" t="n">
        <f aca="false">K9*1+M9*1</f>
        <v>1</v>
      </c>
      <c r="P9" s="11" t="n">
        <f aca="false">(J9+L9+N9)/D9</f>
        <v>0.909255258344309</v>
      </c>
      <c r="Q9" s="12" t="n">
        <f aca="false">(E9+E_tr*(2+2*O9)/P9)/(eta_ch*eta_bat)</f>
        <v>35.8051008214536</v>
      </c>
      <c r="R9" s="12" t="n">
        <f aca="false">Энергетика!T9/B9+C9*turn_t/3600*Q_turn</f>
        <v>9.12223784951933</v>
      </c>
      <c r="S9" s="12" t="n">
        <f aca="false">R9/D9</f>
        <v>4.34338018214107</v>
      </c>
      <c r="T9" s="12" t="n">
        <f aca="false">tank_D/S9</f>
        <v>5.0651794403029</v>
      </c>
      <c r="U9" s="12" t="n">
        <f aca="false">MAX(0,((T_av-2*t_tr)*S9+2*t_tr*Q_tr)/tank_D-1)</f>
        <v>0.443131216193827</v>
      </c>
      <c r="V9" s="11" t="n">
        <f aca="false">(T_av-2*t_tr-U9*t_refuel_h)/D9</f>
        <v>3.41084065161621</v>
      </c>
      <c r="W9" s="12" t="n">
        <f aca="false">R9+2*t_tr*Q_tr/V9</f>
        <v>9.22358646100376</v>
      </c>
      <c r="X9" s="11" t="n">
        <f aca="false">T9/D9</f>
        <v>2.41168892577814</v>
      </c>
    </row>
    <row r="10" customFormat="false" ht="15" hidden="false" customHeight="false" outlineLevel="0" collapsed="false">
      <c r="A10" s="17" t="str">
        <f aca="false">Энергетика!A10&amp;" "&amp;Энергетика!B10&amp;"×"&amp;Энергетика!C10</f>
        <v>фреза 0.08×1.8</v>
      </c>
      <c r="B10" s="11" t="n">
        <f aca="false">0.1*Энергетика!D10*Энергетика!C10</f>
        <v>0.225</v>
      </c>
      <c r="C10" s="12" t="n">
        <f aca="false">10000/(Энергетика!D10*L_run_m)</f>
        <v>26.6666666666667</v>
      </c>
      <c r="D10" s="11" t="n">
        <f aca="false">1/B10+C10*turn_t/3600</f>
        <v>4.68291851851852</v>
      </c>
      <c r="E10" s="12" t="n">
        <f aca="false">Энергетика!L10/B10+C10*turn_P*turn_t/3600</f>
        <v>33.7395617619947</v>
      </c>
      <c r="F10" s="12" t="n">
        <f aca="false">E10/D10</f>
        <v>7.20481503758226</v>
      </c>
      <c r="G10" s="12" t="n">
        <f aca="false">E_use/F10</f>
        <v>2.20380397236793</v>
      </c>
      <c r="H10" s="11" t="n">
        <f aca="false">G10/D10</f>
        <v>0.470604808444356</v>
      </c>
      <c r="I10" s="12" t="n">
        <f aca="false">(E_use-2*E_tr)/F10</f>
        <v>2.09024355285488</v>
      </c>
      <c r="J10" s="12" t="n">
        <f aca="false">MAX(0,MIN(I10,T_av-2*t_tr))</f>
        <v>2.09024355285488</v>
      </c>
      <c r="K10" s="19" t="b">
        <f aca="false">AND(T_av-(t_tr+J10)-t_tr&gt;0.000001,T_av-(t_tr+J10)-2*t_tr-t_ch&gt;=0.25)</f>
        <v>0</v>
      </c>
      <c r="L10" s="12" t="n">
        <f aca="false">IF(K10,MAX(0,MIN(I10,T_av-(t_tr+J10+2*t_tr+t_ch)-t_tr)),0)</f>
        <v>0</v>
      </c>
      <c r="M10" s="19" t="b">
        <f aca="false">AND(K10,L10&gt;0,T_av-(t_tr+J10+2*t_tr+t_ch+L10)-t_tr&gt;0.000001,T_av-(t_tr+J10+2*t_tr+t_ch+L10)-2*t_tr-t_ch&gt;=0.25)</f>
        <v>0</v>
      </c>
      <c r="N10" s="12" t="n">
        <f aca="false">IF(M10,MAX(0,MIN(I10,T_av-((t_tr+J10+2*t_tr+t_ch+L10)+2*t_tr+t_ch)-t_tr)),0)</f>
        <v>0</v>
      </c>
      <c r="O10" s="14" t="n">
        <f aca="false">K10*1+M10*1</f>
        <v>0</v>
      </c>
      <c r="P10" s="11" t="n">
        <f aca="false">(J10+L10+N10)/D10</f>
        <v>0.446354884158041</v>
      </c>
      <c r="Q10" s="12" t="n">
        <f aca="false">(E10+E_tr*(2+2*O10)/P10)/(eta_ch*eta_bat)</f>
        <v>40.700905713597</v>
      </c>
      <c r="R10" s="12" t="n">
        <f aca="false">Энергетика!T10/B10+C10*turn_t/3600*Q_turn</f>
        <v>13.8590295593113</v>
      </c>
      <c r="S10" s="12" t="n">
        <f aca="false">R10/D10</f>
        <v>2.95948552265131</v>
      </c>
      <c r="T10" s="12" t="n">
        <f aca="false">tank_D/S10</f>
        <v>7.43372448745445</v>
      </c>
      <c r="U10" s="12" t="n">
        <f aca="false">MAX(0,((T_av-2*t_tr)*S10+2*t_tr*Q_tr)/tank_D-1)</f>
        <v>0</v>
      </c>
      <c r="V10" s="11" t="n">
        <f aca="false">(T_av-2*t_tr-U10*t_refuel_h)/D10</f>
        <v>1.54393672269514</v>
      </c>
      <c r="W10" s="12" t="n">
        <f aca="false">R10+2*t_tr*Q_tr/V10</f>
        <v>14.0829273129916</v>
      </c>
      <c r="X10" s="11" t="n">
        <f aca="false">T10/D10</f>
        <v>1.5874127337595</v>
      </c>
    </row>
    <row r="11" customFormat="false" ht="15" hidden="false" customHeight="false" outlineLevel="0" collapsed="false">
      <c r="A11" s="17" t="str">
        <f aca="false">Энергетика!A11&amp;" "&amp;Энергетика!B11&amp;"×"&amp;Энергетика!C11</f>
        <v>фреза 0.08×2.7</v>
      </c>
      <c r="B11" s="11" t="n">
        <f aca="false">0.1*Энергетика!D11*Энергетика!C11</f>
        <v>0.3375</v>
      </c>
      <c r="C11" s="12" t="n">
        <f aca="false">10000/(Энергетика!D11*L_run_m)</f>
        <v>26.6666666666667</v>
      </c>
      <c r="D11" s="11" t="n">
        <f aca="false">1/B11+C11*turn_t/3600</f>
        <v>3.20143703703704</v>
      </c>
      <c r="E11" s="12" t="n">
        <f aca="false">Энергетика!L11/B11+C11*turn_P*turn_t/3600</f>
        <v>29.9645148656142</v>
      </c>
      <c r="F11" s="12" t="n">
        <f aca="false">E11/D11</f>
        <v>9.3597076934384</v>
      </c>
      <c r="G11" s="12" t="n">
        <f aca="false">E_use/F11</f>
        <v>1.69642049944906</v>
      </c>
      <c r="H11" s="11" t="n">
        <f aca="false">G11/D11</f>
        <v>0.529893444669809</v>
      </c>
      <c r="I11" s="12" t="n">
        <f aca="false">(E_use-2*E_tr)/F11</f>
        <v>1.60900518211438</v>
      </c>
      <c r="J11" s="12" t="n">
        <f aca="false">MAX(0,MIN(I11,T_av-2*t_tr))</f>
        <v>1.60900518211438</v>
      </c>
      <c r="K11" s="19" t="b">
        <f aca="false">AND(T_av-(t_tr+J11)-t_tr&gt;0.000001,T_av-(t_tr+J11)-2*t_tr-t_ch&gt;=0.25)</f>
        <v>1</v>
      </c>
      <c r="L11" s="12" t="n">
        <f aca="false">IF(K11,MAX(0,MIN(I11,T_av-(t_tr+J11+2*t_tr+t_ch)-t_tr)),0)</f>
        <v>0.300669399596819</v>
      </c>
      <c r="M11" s="19" t="b">
        <f aca="false">AND(K11,L11&gt;0,T_av-(t_tr+J11+2*t_tr+t_ch+L11)-t_tr&gt;0.000001,T_av-(t_tr+J11+2*t_tr+t_ch+L11)-2*t_tr-t_ch&gt;=0.25)</f>
        <v>0</v>
      </c>
      <c r="N11" s="12" t="n">
        <f aca="false">IF(M11,MAX(0,MIN(I11,T_av-((t_tr+J11+2*t_tr+t_ch+L11)+2*t_tr+t_ch)-t_tr)),0)</f>
        <v>0</v>
      </c>
      <c r="O11" s="14" t="n">
        <f aca="false">K11*1+M11*1</f>
        <v>1</v>
      </c>
      <c r="P11" s="11" t="n">
        <f aca="false">(J11+L11+N11)/D11</f>
        <v>0.596505431660346</v>
      </c>
      <c r="Q11" s="12" t="n">
        <f aca="false">(E11+E_tr*(2+2*O11)/P11)/(eta_ch*eta_bat)</f>
        <v>37.4230721414568</v>
      </c>
      <c r="R11" s="12" t="n">
        <f aca="false">Энергетика!T11/B11+C11*turn_t/3600*Q_turn</f>
        <v>10.7757182579498</v>
      </c>
      <c r="S11" s="12" t="n">
        <f aca="false">R11/D11</f>
        <v>3.36590041699613</v>
      </c>
      <c r="T11" s="12" t="n">
        <f aca="false">tank_D/S11</f>
        <v>6.53614108394619</v>
      </c>
      <c r="U11" s="12" t="n">
        <f aca="false">MAX(0,((T_av-2*t_tr)*S11+2*t_tr*Q_tr)/tank_D-1)</f>
        <v>0.12189005040192</v>
      </c>
      <c r="V11" s="11" t="n">
        <f aca="false">(T_av-2*t_tr-U11*t_refuel_h)/D11</f>
        <v>2.25269036346385</v>
      </c>
      <c r="W11" s="12" t="n">
        <f aca="false">R11+2*t_tr*Q_tr/V11</f>
        <v>10.9291720879313</v>
      </c>
      <c r="X11" s="11" t="n">
        <f aca="false">T11/D11</f>
        <v>2.04162724686769</v>
      </c>
    </row>
    <row r="12" customFormat="false" ht="15" hidden="false" customHeight="false" outlineLevel="0" collapsed="false">
      <c r="A12" s="17" t="str">
        <f aca="false">Энергетика!A12&amp;" "&amp;Энергетика!B12&amp;"×"&amp;Энергетика!C12</f>
        <v>фреза 0.08×3.6</v>
      </c>
      <c r="B12" s="11" t="n">
        <f aca="false">0.1*Энергетика!D12*Энергетика!C12</f>
        <v>0.45</v>
      </c>
      <c r="C12" s="12" t="n">
        <f aca="false">10000/(Энергетика!D12*L_run_m)</f>
        <v>26.6666666666667</v>
      </c>
      <c r="D12" s="11" t="n">
        <f aca="false">1/B12+C12*turn_t/3600</f>
        <v>2.4606962962963</v>
      </c>
      <c r="E12" s="12" t="n">
        <f aca="false">Энергетика!L12/B12+C12*turn_P*turn_t/3600</f>
        <v>27.0496161173819</v>
      </c>
      <c r="F12" s="12" t="n">
        <f aca="false">E12/D12</f>
        <v>10.9926674649348</v>
      </c>
      <c r="G12" s="12" t="n">
        <f aca="false">E_use/F12</f>
        <v>1.44441738555713</v>
      </c>
      <c r="H12" s="11" t="n">
        <f aca="false">G12/D12</f>
        <v>0.586995391398436</v>
      </c>
      <c r="I12" s="12" t="n">
        <f aca="false">(E_use-2*E_tr)/F12</f>
        <v>1.36998760581607</v>
      </c>
      <c r="J12" s="12" t="n">
        <f aca="false">MAX(0,MIN(I12,T_av-2*t_tr))</f>
        <v>1.36998760581607</v>
      </c>
      <c r="K12" s="19" t="b">
        <f aca="false">AND(T_av-(t_tr+J12)-t_tr&gt;0.000001,T_av-(t_tr+J12)-2*t_tr-t_ch&gt;=0.25)</f>
        <v>1</v>
      </c>
      <c r="L12" s="12" t="n">
        <f aca="false">IF(K12,MAX(0,MIN(I12,T_av-(t_tr+J12+2*t_tr+t_ch)-t_tr)),0)</f>
        <v>0.539686975895129</v>
      </c>
      <c r="M12" s="19" t="b">
        <f aca="false">AND(K12,L12&gt;0,T_av-(t_tr+J12+2*t_tr+t_ch+L12)-t_tr&gt;0.000001,T_av-(t_tr+J12+2*t_tr+t_ch+L12)-2*t_tr-t_ch&gt;=0.25)</f>
        <v>0</v>
      </c>
      <c r="N12" s="12" t="n">
        <f aca="false">IF(M12,MAX(0,MIN(I12,T_av-((t_tr+J12+2*t_tr+t_ch+L12)+2*t_tr+t_ch)-t_tr)),0)</f>
        <v>0</v>
      </c>
      <c r="O12" s="14" t="n">
        <f aca="false">K12*1+M12*1</f>
        <v>1</v>
      </c>
      <c r="P12" s="11" t="n">
        <f aca="false">(J12+L12+N12)/D12</f>
        <v>0.776070815640894</v>
      </c>
      <c r="Q12" s="12" t="n">
        <f aca="false">(E12+E_tr*(2+2*O12)/P12)/(eta_ch*eta_bat)</f>
        <v>33.361715933086</v>
      </c>
      <c r="R12" s="12" t="n">
        <f aca="false">Энергетика!T12/B12+C12*turn_t/3600*Q_turn</f>
        <v>9.03516274918092</v>
      </c>
      <c r="S12" s="12" t="n">
        <f aca="false">R12/D12</f>
        <v>3.67179109538229</v>
      </c>
      <c r="T12" s="12" t="n">
        <f aca="false">tank_D/S12</f>
        <v>5.99162627407306</v>
      </c>
      <c r="U12" s="12" t="n">
        <f aca="false">MAX(0,((T_av-2*t_tr)*S12+2*t_tr*Q_tr)/tank_D-1)</f>
        <v>0.222418656347106</v>
      </c>
      <c r="V12" s="11" t="n">
        <f aca="false">(T_av-2*t_tr-U12*t_refuel_h)/D12</f>
        <v>2.92468724503303</v>
      </c>
      <c r="W12" s="12" t="n">
        <f aca="false">R12+2*t_tr*Q_tr/V12</f>
        <v>9.15335793898217</v>
      </c>
      <c r="X12" s="11" t="n">
        <f aca="false">T12/D12</f>
        <v>2.43493123596411</v>
      </c>
    </row>
    <row r="13" customFormat="false" ht="15" hidden="false" customHeight="false" outlineLevel="0" collapsed="false">
      <c r="A13" s="17" t="str">
        <f aca="false">Энергетика!A13&amp;" "&amp;Энергетика!B13&amp;"×"&amp;Энергетика!C13</f>
        <v>фреза 0.12×1.8</v>
      </c>
      <c r="B13" s="11" t="n">
        <f aca="false">0.1*Энергетика!D13*Энергетика!C13</f>
        <v>0.225</v>
      </c>
      <c r="C13" s="12" t="n">
        <f aca="false">10000/(Энергетика!D13*L_run_m)</f>
        <v>26.6666666666667</v>
      </c>
      <c r="D13" s="11" t="n">
        <f aca="false">1/B13+C13*turn_t/3600</f>
        <v>4.68291851851852</v>
      </c>
      <c r="E13" s="12" t="n">
        <f aca="false">Энергетика!L13/B13+C13*turn_P*turn_t/3600</f>
        <v>45.0076461357995</v>
      </c>
      <c r="F13" s="12" t="n">
        <f aca="false">E13/D13</f>
        <v>9.61102482518488</v>
      </c>
      <c r="G13" s="12" t="n">
        <f aca="false">E_use/F13</f>
        <v>1.65206107452694</v>
      </c>
      <c r="H13" s="11" t="n">
        <f aca="false">G13/D13</f>
        <v>0.352784501373212</v>
      </c>
      <c r="I13" s="12" t="n">
        <f aca="false">(E_use-2*E_tr)/F13</f>
        <v>1.56693156616922</v>
      </c>
      <c r="J13" s="12" t="n">
        <f aca="false">MAX(0,MIN(I13,T_av-2*t_tr))</f>
        <v>1.56693156616922</v>
      </c>
      <c r="K13" s="19" t="b">
        <f aca="false">AND(T_av-(t_tr+J13)-t_tr&gt;0.000001,T_av-(t_tr+J13)-2*t_tr-t_ch&gt;=0.25)</f>
        <v>1</v>
      </c>
      <c r="L13" s="12" t="n">
        <f aca="false">IF(K13,MAX(0,MIN(I13,T_av-(t_tr+J13+2*t_tr+t_ch)-t_tr)),0)</f>
        <v>0.342743015541977</v>
      </c>
      <c r="M13" s="19" t="b">
        <f aca="false">AND(K13,L13&gt;0,T_av-(t_tr+J13+2*t_tr+t_ch+L13)-t_tr&gt;0.000001,T_av-(t_tr+J13+2*t_tr+t_ch+L13)-2*t_tr-t_ch&gt;=0.25)</f>
        <v>0</v>
      </c>
      <c r="N13" s="12" t="n">
        <f aca="false">IF(M13,MAX(0,MIN(I13,T_av-((t_tr+J13+2*t_tr+t_ch+L13)+2*t_tr+t_ch)-t_tr)),0)</f>
        <v>0</v>
      </c>
      <c r="O13" s="14" t="n">
        <f aca="false">K13*1+M13*1</f>
        <v>1</v>
      </c>
      <c r="P13" s="11" t="n">
        <f aca="false">(J13+L13+N13)/D13</f>
        <v>0.40779581668129</v>
      </c>
      <c r="Q13" s="12" t="n">
        <f aca="false">(E13+E_tr*(2+2*O13)/P13)/(eta_ch*eta_bat)</f>
        <v>56.0873563816775</v>
      </c>
      <c r="R13" s="12" t="n">
        <f aca="false">Энергетика!T13/B13+C13*turn_t/3600*Q_turn</f>
        <v>16.0405306940799</v>
      </c>
      <c r="S13" s="12" t="n">
        <f aca="false">R13/D13</f>
        <v>3.42532773753118</v>
      </c>
      <c r="T13" s="12" t="n">
        <f aca="false">tank_D/S13</f>
        <v>6.42274307329686</v>
      </c>
      <c r="U13" s="12" t="n">
        <f aca="false">MAX(0,((T_av-2*t_tr)*S13+2*t_tr*Q_tr)/tank_D-1)</f>
        <v>0.141420379733841</v>
      </c>
      <c r="V13" s="11" t="n">
        <f aca="false">(T_av-2*t_tr-U13*t_refuel_h)/D13</f>
        <v>1.53940684311765</v>
      </c>
      <c r="W13" s="12" t="n">
        <f aca="false">R13+2*t_tr*Q_tr/V13</f>
        <v>16.2650872923446</v>
      </c>
      <c r="X13" s="11" t="n">
        <f aca="false">T13/D13</f>
        <v>1.3715256944784</v>
      </c>
    </row>
    <row r="14" customFormat="false" ht="15" hidden="false" customHeight="false" outlineLevel="0" collapsed="false">
      <c r="A14" s="17" t="str">
        <f aca="false">Энергетика!A14&amp;" "&amp;Энергетика!B14&amp;"×"&amp;Энергетика!C14</f>
        <v>фреза 0.12×2.7</v>
      </c>
      <c r="B14" s="11" t="n">
        <f aca="false">0.1*Энергетика!D14*Энергетика!C14</f>
        <v>0.3375</v>
      </c>
      <c r="C14" s="12" t="n">
        <f aca="false">10000/(Энергетика!D14*L_run_m)</f>
        <v>26.6666666666667</v>
      </c>
      <c r="D14" s="11" t="n">
        <f aca="false">1/B14+C14*turn_t/3600</f>
        <v>3.20143703703704</v>
      </c>
      <c r="E14" s="12" t="n">
        <f aca="false">Энергетика!L14/B14+C14*turn_P*turn_t/3600</f>
        <v>40.2052239393769</v>
      </c>
      <c r="F14" s="12" t="n">
        <f aca="false">E14/D14</f>
        <v>12.558492787535</v>
      </c>
      <c r="G14" s="12" t="n">
        <f aca="false">E_use/F14</f>
        <v>1.26432369462041</v>
      </c>
      <c r="H14" s="11" t="n">
        <f aca="false">G14/D14</f>
        <v>0.394923804527031</v>
      </c>
      <c r="I14" s="12" t="n">
        <f aca="false">(E_use-2*E_tr)/F14</f>
        <v>1.19917401208893</v>
      </c>
      <c r="J14" s="12" t="n">
        <f aca="false">MAX(0,MIN(I14,T_av-2*t_tr))</f>
        <v>1.19917401208893</v>
      </c>
      <c r="K14" s="19" t="b">
        <f aca="false">AND(T_av-(t_tr+J14)-t_tr&gt;0.000001,T_av-(t_tr+J14)-2*t_tr-t_ch&gt;=0.25)</f>
        <v>1</v>
      </c>
      <c r="L14" s="12" t="n">
        <f aca="false">IF(K14,MAX(0,MIN(I14,T_av-(t_tr+J14+2*t_tr+t_ch)-t_tr)),0)</f>
        <v>0.710500569622265</v>
      </c>
      <c r="M14" s="19" t="b">
        <f aca="false">AND(K14,L14&gt;0,T_av-(t_tr+J14+2*t_tr+t_ch+L14)-t_tr&gt;0.000001,T_av-(t_tr+J14+2*t_tr+t_ch+L14)-2*t_tr-t_ch&gt;=0.25)</f>
        <v>0</v>
      </c>
      <c r="N14" s="12" t="n">
        <f aca="false">IF(M14,MAX(0,MIN(I14,T_av-((t_tr+J14+2*t_tr+t_ch+L14)+2*t_tr+t_ch)-t_tr)),0)</f>
        <v>0</v>
      </c>
      <c r="O14" s="14" t="n">
        <f aca="false">K14*1+M14*1</f>
        <v>1</v>
      </c>
      <c r="P14" s="11" t="n">
        <f aca="false">(J14+L14+N14)/D14</f>
        <v>0.596505431660345</v>
      </c>
      <c r="Q14" s="12" t="n">
        <f aca="false">(E14+E_tr*(2+2*O14)/P14)/(eta_ch*eta_bat)</f>
        <v>49.1401305782563</v>
      </c>
      <c r="R14" s="12" t="n">
        <f aca="false">Энергетика!T14/B14+C14*turn_t/3600*Q_turn</f>
        <v>12.7583195346303</v>
      </c>
      <c r="S14" s="12" t="n">
        <f aca="false">R14/D14</f>
        <v>3.98518521121322</v>
      </c>
      <c r="T14" s="12" t="n">
        <f aca="false">tank_D/S14</f>
        <v>5.52044606059915</v>
      </c>
      <c r="U14" s="12" t="n">
        <f aca="false">MAX(0,((T_av-2*t_tr)*S14+2*t_tr*Q_tr)/tank_D-1)</f>
        <v>0.325413208983113</v>
      </c>
      <c r="V14" s="11" t="n">
        <f aca="false">(T_av-2*t_tr-U14*t_refuel_h)/D14</f>
        <v>2.24315449771543</v>
      </c>
      <c r="W14" s="12" t="n">
        <f aca="false">R14+2*t_tr*Q_tr/V14</f>
        <v>12.9124257116181</v>
      </c>
      <c r="X14" s="11" t="n">
        <f aca="false">T14/D14</f>
        <v>1.72436502630968</v>
      </c>
    </row>
    <row r="15" customFormat="false" ht="15" hidden="false" customHeight="false" outlineLevel="0" collapsed="false">
      <c r="A15" s="17" t="str">
        <f aca="false">Энергетика!A15&amp;" "&amp;Энергетика!B15&amp;"×"&amp;Энергетика!C15</f>
        <v>фреза 0.12×3.6</v>
      </c>
      <c r="B15" s="11" t="n">
        <f aca="false">0.1*Энергетика!D15*Энергетика!C15</f>
        <v>0.45</v>
      </c>
      <c r="C15" s="12" t="n">
        <f aca="false">10000/(Энергетика!D15*L_run_m)</f>
        <v>26.6666666666667</v>
      </c>
      <c r="D15" s="11" t="n">
        <f aca="false">1/B15+C15*turn_t/3600</f>
        <v>2.4606962962963</v>
      </c>
      <c r="E15" s="12" t="n">
        <f aca="false">Энергетика!L15/B15+C15*turn_P*turn_t/3600</f>
        <v>36.2629498911025</v>
      </c>
      <c r="F15" s="12" t="n">
        <f aca="false">E15/D15</f>
        <v>14.7368653115313</v>
      </c>
      <c r="G15" s="12" t="n">
        <f aca="false">E_use/F15</f>
        <v>1.07743401763846</v>
      </c>
      <c r="H15" s="11" t="n">
        <f aca="false">G15/D15</f>
        <v>0.437857373646699</v>
      </c>
      <c r="I15" s="12" t="n">
        <f aca="false">(E_use-2*E_tr)/F15</f>
        <v>1.02191462454598</v>
      </c>
      <c r="J15" s="12" t="n">
        <f aca="false">MAX(0,MIN(I15,T_av-2*t_tr))</f>
        <v>1.02191462454598</v>
      </c>
      <c r="K15" s="19" t="b">
        <f aca="false">AND(T_av-(t_tr+J15)-t_tr&gt;0.000001,T_av-(t_tr+J15)-2*t_tr-t_ch&gt;=0.25)</f>
        <v>1</v>
      </c>
      <c r="L15" s="12" t="n">
        <f aca="false">IF(K15,MAX(0,MIN(I15,T_av-(t_tr+J15+2*t_tr+t_ch)-t_tr)),0)</f>
        <v>0.887759957165217</v>
      </c>
      <c r="M15" s="19" t="b">
        <f aca="false">AND(K15,L15&gt;0,T_av-(t_tr+J15+2*t_tr+t_ch+L15)-t_tr&gt;0.000001,T_av-(t_tr+J15+2*t_tr+t_ch+L15)-2*t_tr-t_ch&gt;=0.25)</f>
        <v>0</v>
      </c>
      <c r="N15" s="12" t="n">
        <f aca="false">IF(M15,MAX(0,MIN(I15,T_av-((t_tr+J15+2*t_tr+t_ch+L15)+2*t_tr+t_ch)-t_tr)),0)</f>
        <v>0</v>
      </c>
      <c r="O15" s="14" t="n">
        <f aca="false">K15*1+M15*1</f>
        <v>1</v>
      </c>
      <c r="P15" s="11" t="n">
        <f aca="false">(J15+L15+N15)/D15</f>
        <v>0.776070815640894</v>
      </c>
      <c r="Q15" s="12" t="n">
        <f aca="false">(E15+E_tr*(2+2*O15)/P15)/(eta_ch*eta_bat)</f>
        <v>43.903287756565</v>
      </c>
      <c r="R15" s="12" t="n">
        <f aca="false">Энергетика!T15/B15+C15*turn_t/3600*Q_turn</f>
        <v>10.8188641677732</v>
      </c>
      <c r="S15" s="12" t="n">
        <f aca="false">R15/D15</f>
        <v>4.39666779848338</v>
      </c>
      <c r="T15" s="12" t="n">
        <f aca="false">tank_D/S15</f>
        <v>5.00378946246266</v>
      </c>
      <c r="U15" s="12" t="n">
        <f aca="false">MAX(0,((T_av-2*t_tr)*S15+2*t_tr*Q_tr)/tank_D-1)</f>
        <v>0.460643779222216</v>
      </c>
      <c r="V15" s="11" t="n">
        <f aca="false">(T_av-2*t_tr-U15*t_refuel_h)/D15</f>
        <v>2.91016543326575</v>
      </c>
      <c r="W15" s="12" t="n">
        <f aca="false">R15+2*t_tr*Q_tr/V15</f>
        <v>10.9376491550748</v>
      </c>
      <c r="X15" s="11" t="n">
        <f aca="false">T15/D15</f>
        <v>2.03348518465854</v>
      </c>
    </row>
    <row r="16" customFormat="false" ht="15" hidden="false" customHeight="false" outlineLevel="0" collapsed="false">
      <c r="A16" s="17" t="str">
        <f aca="false">Энергетика!A16&amp;" "&amp;Энергетика!B16&amp;"×"&amp;Энергетика!C16</f>
        <v>фреза 0.16×1.8</v>
      </c>
      <c r="B16" s="11" t="n">
        <f aca="false">0.1*Энергетика!D16*Энергетика!C16</f>
        <v>0.225</v>
      </c>
      <c r="C16" s="12" t="n">
        <f aca="false">10000/(Энергетика!D16*L_run_m)</f>
        <v>26.6666666666667</v>
      </c>
      <c r="D16" s="11" t="n">
        <f aca="false">1/B16+C16*turn_t/3600</f>
        <v>4.68291851851852</v>
      </c>
      <c r="E16" s="12" t="n">
        <f aca="false">Энергетика!L16/B16+C16*turn_P*turn_t/3600</f>
        <v>56.0248356850073</v>
      </c>
      <c r="F16" s="12" t="n">
        <f aca="false">E16/D16</f>
        <v>11.9636580187031</v>
      </c>
      <c r="G16" s="12" t="n">
        <f aca="false">E_use/F16</f>
        <v>1.32718604754311</v>
      </c>
      <c r="H16" s="11" t="n">
        <f aca="false">G16/D16</f>
        <v>0.283410023534421</v>
      </c>
      <c r="I16" s="12" t="n">
        <f aca="false">(E_use-2*E_tr)/F16</f>
        <v>1.25879711358138</v>
      </c>
      <c r="J16" s="12" t="n">
        <f aca="false">MAX(0,MIN(I16,T_av-2*t_tr))</f>
        <v>1.25879711358138</v>
      </c>
      <c r="K16" s="19" t="b">
        <f aca="false">AND(T_av-(t_tr+J16)-t_tr&gt;0.000001,T_av-(t_tr+J16)-2*t_tr-t_ch&gt;=0.25)</f>
        <v>1</v>
      </c>
      <c r="L16" s="12" t="n">
        <f aca="false">IF(K16,MAX(0,MIN(I16,T_av-(t_tr+J16+2*t_tr+t_ch)-t_tr)),0)</f>
        <v>0.650877468129815</v>
      </c>
      <c r="M16" s="19" t="b">
        <f aca="false">AND(K16,L16&gt;0,T_av-(t_tr+J16+2*t_tr+t_ch+L16)-t_tr&gt;0.000001,T_av-(t_tr+J16+2*t_tr+t_ch+L16)-2*t_tr-t_ch&gt;=0.25)</f>
        <v>0</v>
      </c>
      <c r="N16" s="12" t="n">
        <f aca="false">IF(M16,MAX(0,MIN(I16,T_av-((t_tr+J16+2*t_tr+t_ch+L16)+2*t_tr+t_ch)-t_tr)),0)</f>
        <v>0</v>
      </c>
      <c r="O16" s="14" t="n">
        <f aca="false">K16*1+M16*1</f>
        <v>1</v>
      </c>
      <c r="P16" s="11" t="n">
        <f aca="false">(J16+L16+N16)/D16</f>
        <v>0.40779581668129</v>
      </c>
      <c r="Q16" s="12" t="n">
        <f aca="false">(E16+E_tr*(2+2*O16)/P16)/(eta_ch*eta_bat)</f>
        <v>68.6928364150961</v>
      </c>
      <c r="R16" s="12" t="n">
        <f aca="false">Энергетика!T16/B16+C16*turn_t/3600*Q_turn</f>
        <v>18.1734585908065</v>
      </c>
      <c r="S16" s="12" t="n">
        <f aca="false">R16/D16</f>
        <v>3.88079752379631</v>
      </c>
      <c r="T16" s="12" t="n">
        <f aca="false">tank_D/S16</f>
        <v>5.66893785751517</v>
      </c>
      <c r="U16" s="12" t="n">
        <f aca="false">MAX(0,((T_av-2*t_tr)*S16+2*t_tr*Q_tr)/tank_D-1)</f>
        <v>0.291107002761894</v>
      </c>
      <c r="V16" s="11" t="n">
        <f aca="false">(T_av-2*t_tr-U16*t_refuel_h)/D16</f>
        <v>1.53461218496475</v>
      </c>
      <c r="W16" s="12" t="n">
        <f aca="false">R16+2*t_tr*Q_tr/V16</f>
        <v>18.3987167813923</v>
      </c>
      <c r="X16" s="11" t="n">
        <f aca="false">T16/D16</f>
        <v>1.21055658668786</v>
      </c>
    </row>
    <row r="17" customFormat="false" ht="15" hidden="false" customHeight="false" outlineLevel="0" collapsed="false">
      <c r="A17" s="17" t="str">
        <f aca="false">Энергетика!A17&amp;" "&amp;Энергетика!B17&amp;"×"&amp;Энергетика!C17</f>
        <v>фреза 0.16×2.7</v>
      </c>
      <c r="B17" s="11" t="n">
        <f aca="false">0.1*Энергетика!D17*Энергетика!C17</f>
        <v>0.3375</v>
      </c>
      <c r="C17" s="12" t="n">
        <f aca="false">10000/(Энергетика!D17*L_run_m)</f>
        <v>26.6666666666667</v>
      </c>
      <c r="D17" s="11" t="n">
        <f aca="false">1/B17+C17*turn_t/3600</f>
        <v>3.20143703703704</v>
      </c>
      <c r="E17" s="12" t="n">
        <f aca="false">Энергетика!L17/B17+C17*turn_P*turn_t/3600</f>
        <v>50.1950381885427</v>
      </c>
      <c r="F17" s="12" t="n">
        <f aca="false">E17/D17</f>
        <v>15.6789084426282</v>
      </c>
      <c r="G17" s="12" t="n">
        <f aca="false">E_use/F17</f>
        <v>1.01269804961872</v>
      </c>
      <c r="H17" s="11" t="n">
        <f aca="false">G17/D17</f>
        <v>0.316326086661376</v>
      </c>
      <c r="I17" s="12" t="n">
        <f aca="false">(E_use-2*E_tr)/F17</f>
        <v>0.960514453982853</v>
      </c>
      <c r="J17" s="12" t="n">
        <f aca="false">MAX(0,MIN(I17,T_av-2*t_tr))</f>
        <v>0.960514453982853</v>
      </c>
      <c r="K17" s="19" t="b">
        <f aca="false">AND(T_av-(t_tr+J17)-t_tr&gt;0.000001,T_av-(t_tr+J17)-2*t_tr-t_ch&gt;=0.25)</f>
        <v>1</v>
      </c>
      <c r="L17" s="12" t="n">
        <f aca="false">IF(K17,MAX(0,MIN(I17,T_av-(t_tr+J17+2*t_tr+t_ch)-t_tr)),0)</f>
        <v>0.949160127728342</v>
      </c>
      <c r="M17" s="19" t="b">
        <f aca="false">AND(K17,L17&gt;0,T_av-(t_tr+J17+2*t_tr+t_ch+L17)-t_tr&gt;0.000001,T_av-(t_tr+J17+2*t_tr+t_ch+L17)-2*t_tr-t_ch&gt;=0.25)</f>
        <v>0</v>
      </c>
      <c r="N17" s="12" t="n">
        <f aca="false">IF(M17,MAX(0,MIN(I17,T_av-((t_tr+J17+2*t_tr+t_ch+L17)+2*t_tr+t_ch)-t_tr)),0)</f>
        <v>0</v>
      </c>
      <c r="O17" s="14" t="n">
        <f aca="false">K17*1+M17*1</f>
        <v>1</v>
      </c>
      <c r="P17" s="11" t="n">
        <f aca="false">(J17+L17+N17)/D17</f>
        <v>0.596505431660345</v>
      </c>
      <c r="Q17" s="12" t="n">
        <f aca="false">(E17+E_tr*(2+2*O17)/P17)/(eta_ch*eta_bat)</f>
        <v>60.5701239983544</v>
      </c>
      <c r="R17" s="12" t="n">
        <f aca="false">Энергетика!T17/B17+C17*turn_t/3600*Q_turn</f>
        <v>14.6923475732688</v>
      </c>
      <c r="S17" s="12" t="n">
        <f aca="false">R17/D17</f>
        <v>4.58929768203928</v>
      </c>
      <c r="T17" s="12" t="n">
        <f aca="false">tank_D/S17</f>
        <v>4.79376181808808</v>
      </c>
      <c r="U17" s="12" t="n">
        <f aca="false">MAX(0,((T_av-2*t_tr)*S17+2*t_tr*Q_tr)/tank_D-1)</f>
        <v>0.523950100812087</v>
      </c>
      <c r="V17" s="11" t="n">
        <f aca="false">(T_av-2*t_tr-U17*t_refuel_h)/D17</f>
        <v>2.2338522583055</v>
      </c>
      <c r="W17" s="12" t="n">
        <f aca="false">R17+2*t_tr*Q_tr/V17</f>
        <v>14.847095481395</v>
      </c>
      <c r="X17" s="11" t="n">
        <f aca="false">T17/D17</f>
        <v>1.49737813445326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7" min="2" style="0" width="11"/>
  </cols>
  <sheetData>
    <row r="1" customFormat="false" ht="45" hidden="false" customHeight="true" outlineLevel="0" collapsed="false">
      <c r="A1" s="4" t="s">
        <v>353</v>
      </c>
      <c r="B1" s="4" t="s">
        <v>376</v>
      </c>
      <c r="C1" s="4" t="s">
        <v>377</v>
      </c>
      <c r="D1" s="4" t="s">
        <v>378</v>
      </c>
      <c r="E1" s="4" t="s">
        <v>379</v>
      </c>
      <c r="F1" s="4" t="s">
        <v>380</v>
      </c>
      <c r="G1" s="4" t="s">
        <v>381</v>
      </c>
      <c r="H1" s="4" t="s">
        <v>382</v>
      </c>
      <c r="I1" s="4" t="s">
        <v>383</v>
      </c>
      <c r="J1" s="4" t="s">
        <v>384</v>
      </c>
      <c r="K1" s="4" t="s">
        <v>385</v>
      </c>
      <c r="L1" s="4" t="s">
        <v>386</v>
      </c>
      <c r="M1" s="4" t="s">
        <v>387</v>
      </c>
      <c r="N1" s="4" t="s">
        <v>388</v>
      </c>
      <c r="O1" s="4" t="s">
        <v>389</v>
      </c>
      <c r="P1" s="4" t="s">
        <v>390</v>
      </c>
      <c r="Q1" s="4" t="s">
        <v>391</v>
      </c>
    </row>
    <row r="2" customFormat="false" ht="15" hidden="false" customHeight="false" outlineLevel="0" collapsed="false">
      <c r="A2" s="17" t="str">
        <f aca="false">Смена!A2</f>
        <v>культиватор 0.08×3.6</v>
      </c>
      <c r="B2" s="20" t="n">
        <f aca="false">wage_h*(Смена!D2+2*t_tr*(1+Смена!O2)/Смена!P2)</f>
        <v>6884.82429467663</v>
      </c>
      <c r="C2" s="20" t="n">
        <f aca="false">wage_h*(Смена!D2+2*t_tr/Смена!V2)</f>
        <v>6602.56588586431</v>
      </c>
      <c r="D2" s="20" t="n">
        <f aca="false">Смена!Q2*c_el</f>
        <v>1004.99900538928</v>
      </c>
      <c r="E2" s="20" t="n">
        <f aca="false">Смена!W2*c_D</f>
        <v>2631.00190197702</v>
      </c>
      <c r="F2" s="20" t="n">
        <f aca="false">k_RM_ET*rm_h_D*Смена!D2</f>
        <v>216.352807013231</v>
      </c>
      <c r="G2" s="20" t="n">
        <f aca="false">rm_h_D*Смена!D2</f>
        <v>360.588011688718</v>
      </c>
      <c r="H2" s="13" t="n">
        <f aca="false">T_year_h/Смена!D2</f>
        <v>234.080085733036</v>
      </c>
      <c r="I2" s="13" t="n">
        <f aca="false">H2*Смена!E2/E_bat_kWh</f>
        <v>183.193047055494</v>
      </c>
      <c r="J2" s="13" t="n">
        <f aca="false">MIN(bat_cycles/I2,bat_cal_y)</f>
        <v>10</v>
      </c>
      <c r="K2" s="12" t="n">
        <f aca="false">MAX(0,life_y/J2-1)</f>
        <v>0</v>
      </c>
      <c r="L2" s="20" t="n">
        <f aca="false">(price_ET*(k_CRF-salvage*k_SFF)+C_bat*K2/(1+r_disc)^J2*k_CRF)/H2</f>
        <v>4281.17843525815</v>
      </c>
      <c r="M2" s="20" t="n">
        <f aca="false">price_D*(k_CRF-salvage*k_SFF)/H2</f>
        <v>1625.56023293637</v>
      </c>
      <c r="N2" s="20" t="n">
        <f aca="false">B2+D2+F2</f>
        <v>8106.17610707914</v>
      </c>
      <c r="O2" s="20" t="n">
        <f aca="false">C2+E2+G2</f>
        <v>9594.15579953004</v>
      </c>
      <c r="P2" s="20" t="n">
        <f aca="false">N2+L2</f>
        <v>12387.3545423373</v>
      </c>
      <c r="Q2" s="20" t="n">
        <f aca="false">O2+M2</f>
        <v>11219.7160324664</v>
      </c>
    </row>
    <row r="3" customFormat="false" ht="15" hidden="false" customHeight="false" outlineLevel="0" collapsed="false">
      <c r="A3" s="17" t="str">
        <f aca="false">Смена!A3</f>
        <v>культиватор 0.08×4.5</v>
      </c>
      <c r="B3" s="20" t="n">
        <f aca="false">wage_h*(Смена!D3+2*t_tr*(1+Смена!O3)/Смена!P3)</f>
        <v>6037.41501781246</v>
      </c>
      <c r="C3" s="20" t="n">
        <f aca="false">wage_h*(Смена!D3+2*t_tr/Смена!V3)</f>
        <v>5410.19523635261</v>
      </c>
      <c r="D3" s="20" t="n">
        <f aca="false">Смена!Q3*c_el</f>
        <v>1062.80631930966</v>
      </c>
      <c r="E3" s="20" t="n">
        <f aca="false">Смена!W3*c_D</f>
        <v>2390.78707886851</v>
      </c>
      <c r="F3" s="20" t="n">
        <f aca="false">k_RM_ET*rm_h_D*Смена!D3</f>
        <v>177.275736323231</v>
      </c>
      <c r="G3" s="20" t="n">
        <f aca="false">rm_h_D*Смена!D3</f>
        <v>295.459560538718</v>
      </c>
      <c r="H3" s="13" t="n">
        <f aca="false">T_year_h/Смена!D3</f>
        <v>285.678596883105</v>
      </c>
      <c r="I3" s="13" t="n">
        <f aca="false">H3*Смена!E3/E_bat_kWh</f>
        <v>227.261275494812</v>
      </c>
      <c r="J3" s="13" t="n">
        <f aca="false">MIN(bat_cycles/I3,bat_cal_y)</f>
        <v>10</v>
      </c>
      <c r="K3" s="12" t="n">
        <f aca="false">MAX(0,life_y/J3-1)</f>
        <v>0</v>
      </c>
      <c r="L3" s="20" t="n">
        <f aca="false">(price_ET*(k_CRF-salvage*k_SFF)+C_bat*K3/(1+r_disc)^J3*k_CRF)/H3</f>
        <v>3507.92333096521</v>
      </c>
      <c r="M3" s="20" t="n">
        <f aca="false">price_D*(k_CRF-salvage*k_SFF)/H3</f>
        <v>1331.95585123115</v>
      </c>
      <c r="N3" s="20" t="n">
        <f aca="false">B3+D3+F3</f>
        <v>7277.49707344535</v>
      </c>
      <c r="O3" s="20" t="n">
        <f aca="false">C3+E3+G3</f>
        <v>8096.44187575985</v>
      </c>
      <c r="P3" s="20" t="n">
        <f aca="false">N3+L3</f>
        <v>10785.4204044106</v>
      </c>
      <c r="Q3" s="20" t="n">
        <f aca="false">O3+M3</f>
        <v>9428.397726991</v>
      </c>
    </row>
    <row r="4" customFormat="false" ht="15" hidden="false" customHeight="false" outlineLevel="0" collapsed="false">
      <c r="A4" s="17" t="str">
        <f aca="false">Смена!A4</f>
        <v>культиватор 0.08×5.4</v>
      </c>
      <c r="B4" s="20" t="n">
        <f aca="false">wage_h*(Смена!D4+2*t_tr*(1+Смена!O4)/Смена!P4)</f>
        <v>5150.19266642889</v>
      </c>
      <c r="C4" s="20" t="n">
        <f aca="false">wage_h*(Смена!D4+2*t_tr/Смена!V4)</f>
        <v>4615.33165470723</v>
      </c>
      <c r="D4" s="20" t="n">
        <f aca="false">Смена!Q4*c_el</f>
        <v>1070.82169468476</v>
      </c>
      <c r="E4" s="20" t="n">
        <f aca="false">Смена!W4*c_D</f>
        <v>2245.72961989024</v>
      </c>
      <c r="F4" s="20" t="n">
        <f aca="false">k_RM_ET*rm_h_D*Смена!D4</f>
        <v>151.224355863231</v>
      </c>
      <c r="G4" s="20" t="n">
        <f aca="false">rm_h_D*Смена!D4</f>
        <v>252.040593105385</v>
      </c>
      <c r="H4" s="13" t="n">
        <f aca="false">T_year_h/Смена!D4</f>
        <v>334.892374479961</v>
      </c>
      <c r="I4" s="13" t="n">
        <f aca="false">H4*Смена!E4/E_bat_kWh</f>
        <v>272.408472560352</v>
      </c>
      <c r="J4" s="13" t="n">
        <f aca="false">MIN(bat_cycles/I4,bat_cal_y)</f>
        <v>10</v>
      </c>
      <c r="K4" s="12" t="n">
        <f aca="false">MAX(0,life_y/J4-1)</f>
        <v>0</v>
      </c>
      <c r="L4" s="20" t="n">
        <f aca="false">(price_ET*(k_CRF-salvage*k_SFF)+C_bat*K4/(1+r_disc)^J4*k_CRF)/H4</f>
        <v>2992.41992810325</v>
      </c>
      <c r="M4" s="20" t="n">
        <f aca="false">price_D*(k_CRF-salvage*k_SFF)/H4</f>
        <v>1136.21959676101</v>
      </c>
      <c r="N4" s="20" t="n">
        <f aca="false">B4+D4+F4</f>
        <v>6372.23871697688</v>
      </c>
      <c r="O4" s="20" t="n">
        <f aca="false">C4+E4+G4</f>
        <v>7113.10186770286</v>
      </c>
      <c r="P4" s="20" t="n">
        <f aca="false">N4+L4</f>
        <v>9364.65864508013</v>
      </c>
      <c r="Q4" s="20" t="n">
        <f aca="false">O4+M4</f>
        <v>8249.32146446387</v>
      </c>
    </row>
    <row r="5" customFormat="false" ht="15" hidden="false" customHeight="false" outlineLevel="0" collapsed="false">
      <c r="A5" s="17" t="str">
        <f aca="false">Смена!A5</f>
        <v>культиватор 0.11×3.6</v>
      </c>
      <c r="B5" s="20" t="n">
        <f aca="false">wage_h*(Смена!D5+2*t_tr*(1+Смена!O5)/Смена!P5)</f>
        <v>7368.2485448878</v>
      </c>
      <c r="C5" s="20" t="n">
        <f aca="false">wage_h*(Смена!D5+2*t_tr/Смена!V5)</f>
        <v>6602.82189045778</v>
      </c>
      <c r="D5" s="20" t="n">
        <f aca="false">Смена!Q5*c_el</f>
        <v>1324.25598996741</v>
      </c>
      <c r="E5" s="20" t="n">
        <f aca="false">Смена!W5*c_D</f>
        <v>2975.27185469257</v>
      </c>
      <c r="F5" s="20" t="n">
        <f aca="false">k_RM_ET*rm_h_D*Смена!D5</f>
        <v>216.352807013231</v>
      </c>
      <c r="G5" s="20" t="n">
        <f aca="false">rm_h_D*Смена!D5</f>
        <v>360.588011688718</v>
      </c>
      <c r="H5" s="13" t="n">
        <f aca="false">T_year_h/Смена!D5</f>
        <v>234.080085733036</v>
      </c>
      <c r="I5" s="13" t="n">
        <f aca="false">H5*Смена!E5/E_bat_kWh</f>
        <v>232.483747144812</v>
      </c>
      <c r="J5" s="13" t="n">
        <f aca="false">MIN(bat_cycles/I5,bat_cal_y)</f>
        <v>10</v>
      </c>
      <c r="K5" s="12" t="n">
        <f aca="false">MAX(0,life_y/J5-1)</f>
        <v>0</v>
      </c>
      <c r="L5" s="20" t="n">
        <f aca="false">(price_ET*(k_CRF-salvage*k_SFF)+C_bat*K5/(1+r_disc)^J5*k_CRF)/H5</f>
        <v>4281.17843525815</v>
      </c>
      <c r="M5" s="20" t="n">
        <f aca="false">price_D*(k_CRF-salvage*k_SFF)/H5</f>
        <v>1625.56023293637</v>
      </c>
      <c r="N5" s="20" t="n">
        <f aca="false">B5+D5+F5</f>
        <v>8908.85734186845</v>
      </c>
      <c r="O5" s="20" t="n">
        <f aca="false">C5+E5+G5</f>
        <v>9938.68175683906</v>
      </c>
      <c r="P5" s="20" t="n">
        <f aca="false">N5+L5</f>
        <v>13190.0357771266</v>
      </c>
      <c r="Q5" s="20" t="n">
        <f aca="false">O5+M5</f>
        <v>11564.2419897754</v>
      </c>
    </row>
    <row r="6" customFormat="false" ht="15" hidden="false" customHeight="false" outlineLevel="0" collapsed="false">
      <c r="A6" s="17" t="str">
        <f aca="false">Смена!A6</f>
        <v>культиватор 0.11×4.5</v>
      </c>
      <c r="B6" s="20" t="n">
        <f aca="false">wage_h*(Смена!D6+2*t_tr*(1+Смена!O6)/Смена!P6)</f>
        <v>6037.41501781246</v>
      </c>
      <c r="C6" s="20" t="n">
        <f aca="false">wage_h*(Смена!D6+2*t_tr/Смена!V6)</f>
        <v>5410.52026552298</v>
      </c>
      <c r="D6" s="20" t="n">
        <f aca="false">Смена!Q6*c_el</f>
        <v>1329.66672226233</v>
      </c>
      <c r="E6" s="20" t="n">
        <f aca="false">Смена!W6*c_D</f>
        <v>2750.25772616141</v>
      </c>
      <c r="F6" s="20" t="n">
        <f aca="false">k_RM_ET*rm_h_D*Смена!D6</f>
        <v>177.275736323231</v>
      </c>
      <c r="G6" s="20" t="n">
        <f aca="false">rm_h_D*Смена!D6</f>
        <v>295.459560538718</v>
      </c>
      <c r="H6" s="13" t="n">
        <f aca="false">T_year_h/Смена!D6</f>
        <v>285.678596883105</v>
      </c>
      <c r="I6" s="13" t="n">
        <f aca="false">H6*Смена!E6/E_bat_kWh</f>
        <v>289.852982689326</v>
      </c>
      <c r="J6" s="13" t="n">
        <f aca="false">MIN(bat_cycles/I6,bat_cal_y)</f>
        <v>10</v>
      </c>
      <c r="K6" s="12" t="n">
        <f aca="false">MAX(0,life_y/J6-1)</f>
        <v>0</v>
      </c>
      <c r="L6" s="20" t="n">
        <f aca="false">(price_ET*(k_CRF-salvage*k_SFF)+C_bat*K6/(1+r_disc)^J6*k_CRF)/H6</f>
        <v>3507.92333096521</v>
      </c>
      <c r="M6" s="20" t="n">
        <f aca="false">price_D*(k_CRF-salvage*k_SFF)/H6</f>
        <v>1331.95585123115</v>
      </c>
      <c r="N6" s="20" t="n">
        <f aca="false">B6+D6+F6</f>
        <v>7544.35747639801</v>
      </c>
      <c r="O6" s="20" t="n">
        <f aca="false">C6+E6+G6</f>
        <v>8456.23755222311</v>
      </c>
      <c r="P6" s="20" t="n">
        <f aca="false">N6+L6</f>
        <v>11052.2808073632</v>
      </c>
      <c r="Q6" s="20" t="n">
        <f aca="false">O6+M6</f>
        <v>9788.19340345426</v>
      </c>
    </row>
    <row r="7" customFormat="false" ht="15" hidden="false" customHeight="false" outlineLevel="0" collapsed="false">
      <c r="A7" s="17" t="str">
        <f aca="false">Смена!A7</f>
        <v>культиватор 0.11×5.4</v>
      </c>
      <c r="B7" s="20" t="n">
        <f aca="false">wage_h*(Смена!D7+2*t_tr*(1+Смена!O7)/Смена!P7)</f>
        <v>5150.19266642889</v>
      </c>
      <c r="C7" s="20" t="n">
        <f aca="false">wage_h*(Смена!D7+2*t_tr/Смена!V7)</f>
        <v>4615.67601190379</v>
      </c>
      <c r="D7" s="20" t="n">
        <f aca="false">Смена!Q7*c_el</f>
        <v>1350.7492508309</v>
      </c>
      <c r="E7" s="20" t="n">
        <f aca="false">Смена!W7*c_D</f>
        <v>2624.53653519929</v>
      </c>
      <c r="F7" s="20" t="n">
        <f aca="false">k_RM_ET*rm_h_D*Смена!D7</f>
        <v>151.224355863231</v>
      </c>
      <c r="G7" s="20" t="n">
        <f aca="false">rm_h_D*Смена!D7</f>
        <v>252.040593105385</v>
      </c>
      <c r="H7" s="13" t="n">
        <f aca="false">T_year_h/Смена!D7</f>
        <v>334.892374479961</v>
      </c>
      <c r="I7" s="13" t="n">
        <f aca="false">H7*Смена!E7/E_bat_kWh</f>
        <v>349.375704340091</v>
      </c>
      <c r="J7" s="13" t="n">
        <f aca="false">MIN(bat_cycles/I7,bat_cal_y)</f>
        <v>8.58674476425449</v>
      </c>
      <c r="K7" s="12" t="n">
        <f aca="false">MAX(0,life_y/J7-1)</f>
        <v>0.164585681133636</v>
      </c>
      <c r="L7" s="20" t="n">
        <f aca="false">(price_ET*(k_CRF-salvage*k_SFF)+C_bat*K7/(1+r_disc)^J7*k_CRF)/H7</f>
        <v>3080.80835364539</v>
      </c>
      <c r="M7" s="20" t="n">
        <f aca="false">price_D*(k_CRF-salvage*k_SFF)/H7</f>
        <v>1136.21959676101</v>
      </c>
      <c r="N7" s="20" t="n">
        <f aca="false">B7+D7+F7</f>
        <v>6652.16627312302</v>
      </c>
      <c r="O7" s="20" t="n">
        <f aca="false">C7+E7+G7</f>
        <v>7492.25314020846</v>
      </c>
      <c r="P7" s="20" t="n">
        <f aca="false">N7+L7</f>
        <v>9732.97462676842</v>
      </c>
      <c r="Q7" s="20" t="n">
        <f aca="false">O7+M7</f>
        <v>8628.47273696947</v>
      </c>
    </row>
    <row r="8" customFormat="false" ht="15" hidden="false" customHeight="false" outlineLevel="0" collapsed="false">
      <c r="A8" s="17" t="str">
        <f aca="false">Смена!A8</f>
        <v>культиватор 0.14×3.6</v>
      </c>
      <c r="B8" s="20" t="n">
        <f aca="false">wage_h*(Смена!D8+2*t_tr*(1+Смена!O8)/Смена!P8)</f>
        <v>7368.24854488781</v>
      </c>
      <c r="C8" s="20" t="n">
        <f aca="false">wage_h*(Смена!D8+2*t_tr/Смена!V8)</f>
        <v>6603.19009251885</v>
      </c>
      <c r="D8" s="20" t="n">
        <f aca="false">Смена!Q8*c_el</f>
        <v>1612.45344702647</v>
      </c>
      <c r="E8" s="20" t="n">
        <f aca="false">Смена!W8*c_D</f>
        <v>3382.22839656315</v>
      </c>
      <c r="F8" s="20" t="n">
        <f aca="false">k_RM_ET*rm_h_D*Смена!D8</f>
        <v>216.352807013231</v>
      </c>
      <c r="G8" s="20" t="n">
        <f aca="false">rm_h_D*Смена!D8</f>
        <v>360.588011688718</v>
      </c>
      <c r="H8" s="13" t="n">
        <f aca="false">T_year_h/Смена!D8</f>
        <v>234.080085733036</v>
      </c>
      <c r="I8" s="13" t="n">
        <f aca="false">H8*Смена!E8/E_bat_kWh</f>
        <v>287.87096718012</v>
      </c>
      <c r="J8" s="13" t="n">
        <f aca="false">MIN(bat_cycles/I8,bat_cal_y)</f>
        <v>10</v>
      </c>
      <c r="K8" s="12" t="n">
        <f aca="false">MAX(0,life_y/J8-1)</f>
        <v>0</v>
      </c>
      <c r="L8" s="20" t="n">
        <f aca="false">(price_ET*(k_CRF-salvage*k_SFF)+C_bat*K8/(1+r_disc)^J8*k_CRF)/H8</f>
        <v>4281.17843525815</v>
      </c>
      <c r="M8" s="20" t="n">
        <f aca="false">price_D*(k_CRF-salvage*k_SFF)/H8</f>
        <v>1625.56023293637</v>
      </c>
      <c r="N8" s="20" t="n">
        <f aca="false">B8+D8+F8</f>
        <v>9197.0547989275</v>
      </c>
      <c r="O8" s="20" t="n">
        <f aca="false">C8+E8+G8</f>
        <v>10346.0065007707</v>
      </c>
      <c r="P8" s="20" t="n">
        <f aca="false">N8+L8</f>
        <v>13478.2332341857</v>
      </c>
      <c r="Q8" s="20" t="n">
        <f aca="false">O8+M8</f>
        <v>11971.5667337071</v>
      </c>
    </row>
    <row r="9" customFormat="false" ht="15" hidden="false" customHeight="false" outlineLevel="0" collapsed="false">
      <c r="A9" s="17" t="str">
        <f aca="false">Смена!A9</f>
        <v>культиватор 0.14×4.5</v>
      </c>
      <c r="B9" s="20" t="n">
        <f aca="false">wage_h*(Смена!D9+2*t_tr*(1+Смена!O9)/Смена!P9)</f>
        <v>6037.41501781246</v>
      </c>
      <c r="C9" s="20" t="n">
        <f aca="false">wage_h*(Смена!D9+2*t_tr/Смена!V9)</f>
        <v>5410.91369888284</v>
      </c>
      <c r="D9" s="20" t="n">
        <f aca="false">Смена!Q9*c_el</f>
        <v>1632.35454645007</v>
      </c>
      <c r="E9" s="20" t="n">
        <f aca="false">Смена!W9*c_D</f>
        <v>3182.1373290463</v>
      </c>
      <c r="F9" s="20" t="n">
        <f aca="false">k_RM_ET*rm_h_D*Смена!D9</f>
        <v>177.275736323231</v>
      </c>
      <c r="G9" s="20" t="n">
        <f aca="false">rm_h_D*Смена!D9</f>
        <v>295.459560538718</v>
      </c>
      <c r="H9" s="13" t="n">
        <f aca="false">T_year_h/Смена!D9</f>
        <v>285.678596883105</v>
      </c>
      <c r="I9" s="13" t="n">
        <f aca="false">H9*Смена!E9/E_bat_kWh</f>
        <v>360.847957789713</v>
      </c>
      <c r="J9" s="13" t="n">
        <f aca="false">MIN(bat_cycles/I9,bat_cal_y)</f>
        <v>8.31375080622812</v>
      </c>
      <c r="K9" s="12" t="n">
        <f aca="false">MAX(0,life_y/J9-1)</f>
        <v>0.202826525965712</v>
      </c>
      <c r="L9" s="20" t="n">
        <f aca="false">(price_ET*(k_CRF-salvage*k_SFF)+C_bat*K9/(1+r_disc)^J9*k_CRF)/H9</f>
        <v>3637.32509776922</v>
      </c>
      <c r="M9" s="20" t="n">
        <f aca="false">price_D*(k_CRF-salvage*k_SFF)/H9</f>
        <v>1331.95585123115</v>
      </c>
      <c r="N9" s="20" t="n">
        <f aca="false">B9+D9+F9</f>
        <v>7847.04530058576</v>
      </c>
      <c r="O9" s="20" t="n">
        <f aca="false">C9+E9+G9</f>
        <v>8888.51058846786</v>
      </c>
      <c r="P9" s="20" t="n">
        <f aca="false">N9+L9</f>
        <v>11484.370398355</v>
      </c>
      <c r="Q9" s="20" t="n">
        <f aca="false">O9+M9</f>
        <v>10220.466439699</v>
      </c>
    </row>
    <row r="10" customFormat="false" ht="15" hidden="false" customHeight="false" outlineLevel="0" collapsed="false">
      <c r="A10" s="17" t="str">
        <f aca="false">Смена!A10</f>
        <v>фреза 0.08×1.8</v>
      </c>
      <c r="B10" s="20" t="n">
        <f aca="false">wage_h*(Смена!D10+2*t_tr*(1+Смена!O10)/Смена!P10)</f>
        <v>12586.0417251633</v>
      </c>
      <c r="C10" s="20" t="n">
        <f aca="false">wage_h*(Смена!D10+2*t_tr/Смена!V10)</f>
        <v>12062.645430508</v>
      </c>
      <c r="D10" s="20" t="n">
        <f aca="false">Смена!Q10*c_el</f>
        <v>1855.55429148289</v>
      </c>
      <c r="E10" s="20" t="n">
        <f aca="false">Смена!W10*c_D</f>
        <v>4858.6099229821</v>
      </c>
      <c r="F10" s="20" t="n">
        <f aca="false">k_RM_ET*rm_h_D*Смена!D10</f>
        <v>395.268634044702</v>
      </c>
      <c r="G10" s="20" t="n">
        <f aca="false">rm_h_D*Смена!D10</f>
        <v>658.78105674117</v>
      </c>
      <c r="H10" s="13" t="n">
        <f aca="false">T_year_h/Смена!D10</f>
        <v>128.125227382734</v>
      </c>
      <c r="I10" s="13" t="n">
        <f aca="false">H10*Смена!E10/E_bat_kWh</f>
        <v>185.134433513891</v>
      </c>
      <c r="J10" s="13" t="n">
        <f aca="false">MIN(bat_cycles/I10,bat_cal_y)</f>
        <v>10</v>
      </c>
      <c r="K10" s="12" t="n">
        <f aca="false">MAX(0,life_y/J10-1)</f>
        <v>0</v>
      </c>
      <c r="L10" s="20" t="n">
        <f aca="false">(price_ET*(k_CRF-salvage*k_SFF)+C_bat*K10/(1+r_disc)^J10*k_CRF)/H10</f>
        <v>7821.55579845394</v>
      </c>
      <c r="M10" s="20" t="n">
        <f aca="false">price_D*(k_CRF-salvage*k_SFF)/H10</f>
        <v>2969.83885580394</v>
      </c>
      <c r="N10" s="20" t="n">
        <f aca="false">B10+D10+F10</f>
        <v>14836.8646506909</v>
      </c>
      <c r="O10" s="20" t="n">
        <f aca="false">C10+E10+G10</f>
        <v>17580.0364102313</v>
      </c>
      <c r="P10" s="20" t="n">
        <f aca="false">N10+L10</f>
        <v>22658.4204491448</v>
      </c>
      <c r="Q10" s="20" t="n">
        <f aca="false">O10+M10</f>
        <v>20549.8752660352</v>
      </c>
    </row>
    <row r="11" customFormat="false" ht="15" hidden="false" customHeight="false" outlineLevel="0" collapsed="false">
      <c r="A11" s="17" t="str">
        <f aca="false">Смена!A11</f>
        <v>фреза 0.08×2.7</v>
      </c>
      <c r="B11" s="20" t="n">
        <f aca="false">wage_h*(Смена!D11+2*t_tr*(1+Смена!O11)/Смена!P11)</f>
        <v>9202.85224641285</v>
      </c>
      <c r="C11" s="20" t="n">
        <f aca="false">wage_h*(Смена!D11+2*t_tr/Смена!V11)</f>
        <v>8246.89288288233</v>
      </c>
      <c r="D11" s="20" t="n">
        <f aca="false">Смена!Q11*c_el</f>
        <v>1706.11785892902</v>
      </c>
      <c r="E11" s="20" t="n">
        <f aca="false">Смена!W11*c_D</f>
        <v>3770.5643703363</v>
      </c>
      <c r="F11" s="20" t="n">
        <f aca="false">k_RM_ET*rm_h_D*Смена!D11</f>
        <v>270.222007836702</v>
      </c>
      <c r="G11" s="20" t="n">
        <f aca="false">rm_h_D*Смена!D11</f>
        <v>450.37001306117</v>
      </c>
      <c r="H11" s="13" t="n">
        <f aca="false">T_year_h/Смена!D11</f>
        <v>187.415836406799</v>
      </c>
      <c r="I11" s="13" t="n">
        <f aca="false">H11*Смена!E11/E_bat_kWh</f>
        <v>240.506407540173</v>
      </c>
      <c r="J11" s="13" t="n">
        <f aca="false">MIN(bat_cycles/I11,bat_cal_y)</f>
        <v>10</v>
      </c>
      <c r="K11" s="12" t="n">
        <f aca="false">MAX(0,life_y/J11-1)</f>
        <v>0</v>
      </c>
      <c r="L11" s="20" t="n">
        <f aca="false">(price_ET*(k_CRF-salvage*k_SFF)+C_bat*K11/(1+r_disc)^J11*k_CRF)/H11</f>
        <v>5347.13946471653</v>
      </c>
      <c r="M11" s="20" t="n">
        <f aca="false">price_D*(k_CRF-salvage*k_SFF)/H11</f>
        <v>2030.30483434726</v>
      </c>
      <c r="N11" s="20" t="n">
        <f aca="false">B11+D11+F11</f>
        <v>11179.1921131786</v>
      </c>
      <c r="O11" s="20" t="n">
        <f aca="false">C11+E11+G11</f>
        <v>12467.8272662798</v>
      </c>
      <c r="P11" s="20" t="n">
        <f aca="false">N11+L11</f>
        <v>16526.3315778951</v>
      </c>
      <c r="Q11" s="20" t="n">
        <f aca="false">O11+M11</f>
        <v>14498.1321006271</v>
      </c>
    </row>
    <row r="12" customFormat="false" ht="15" hidden="false" customHeight="false" outlineLevel="0" collapsed="false">
      <c r="A12" s="17" t="str">
        <f aca="false">Смена!A12</f>
        <v>фреза 0.08×3.6</v>
      </c>
      <c r="B12" s="20" t="n">
        <f aca="false">wage_h*(Смена!D12+2*t_tr*(1+Смена!O12)/Смена!P12)</f>
        <v>7073.51860309229</v>
      </c>
      <c r="C12" s="20" t="n">
        <f aca="false">wage_h*(Смена!D12+2*t_tr/Смена!V12)</f>
        <v>6338.9817405225</v>
      </c>
      <c r="D12" s="20" t="n">
        <f aca="false">Смена!Q12*c_el</f>
        <v>1520.96062938939</v>
      </c>
      <c r="E12" s="20" t="n">
        <f aca="false">Смена!W12*c_D</f>
        <v>3157.90848894885</v>
      </c>
      <c r="F12" s="20" t="n">
        <f aca="false">k_RM_ET*rm_h_D*Смена!D12</f>
        <v>207.698694732702</v>
      </c>
      <c r="G12" s="20" t="n">
        <f aca="false">rm_h_D*Смена!D12</f>
        <v>346.16449122117</v>
      </c>
      <c r="H12" s="13" t="n">
        <f aca="false">T_year_h/Смена!D12</f>
        <v>243.833422638579</v>
      </c>
      <c r="I12" s="13" t="n">
        <f aca="false">H12*Смена!E12/E_bat_kWh</f>
        <v>282.466829934085</v>
      </c>
      <c r="J12" s="13" t="n">
        <f aca="false">MIN(bat_cycles/I12,bat_cal_y)</f>
        <v>10</v>
      </c>
      <c r="K12" s="12" t="n">
        <f aca="false">MAX(0,life_y/J12-1)</f>
        <v>0</v>
      </c>
      <c r="L12" s="20" t="n">
        <f aca="false">(price_ET*(k_CRF-salvage*k_SFF)+C_bat*K12/(1+r_disc)^J12*k_CRF)/H12</f>
        <v>4109.93129784783</v>
      </c>
      <c r="M12" s="20" t="n">
        <f aca="false">price_D*(k_CRF-salvage*k_SFF)/H12</f>
        <v>1560.53782361891</v>
      </c>
      <c r="N12" s="20" t="n">
        <f aca="false">B12+D12+F12</f>
        <v>8802.17792721439</v>
      </c>
      <c r="O12" s="20" t="n">
        <f aca="false">C12+E12+G12</f>
        <v>9843.05472069252</v>
      </c>
      <c r="P12" s="20" t="n">
        <f aca="false">N12+L12</f>
        <v>12912.1092250622</v>
      </c>
      <c r="Q12" s="20" t="n">
        <f aca="false">O12+M12</f>
        <v>11403.5925443114</v>
      </c>
    </row>
    <row r="13" customFormat="false" ht="15" hidden="false" customHeight="false" outlineLevel="0" collapsed="false">
      <c r="A13" s="17" t="str">
        <f aca="false">Смена!A13</f>
        <v>фреза 0.12×1.8</v>
      </c>
      <c r="B13" s="20" t="n">
        <f aca="false">wage_h*(Смена!D13+2*t_tr*(1+Смена!O13)/Смена!P13)</f>
        <v>13461.519533054</v>
      </c>
      <c r="C13" s="20" t="n">
        <f aca="false">wage_h*(Смена!D13+2*t_tr/Смена!V13)</f>
        <v>12063.271766353</v>
      </c>
      <c r="D13" s="20" t="n">
        <f aca="false">Смена!Q13*c_el</f>
        <v>2557.02257744068</v>
      </c>
      <c r="E13" s="20" t="n">
        <f aca="false">Смена!W13*c_D</f>
        <v>5611.4551158589</v>
      </c>
      <c r="F13" s="20" t="n">
        <f aca="false">k_RM_ET*rm_h_D*Смена!D13</f>
        <v>395.268634044702</v>
      </c>
      <c r="G13" s="20" t="n">
        <f aca="false">rm_h_D*Смена!D13</f>
        <v>658.78105674117</v>
      </c>
      <c r="H13" s="13" t="n">
        <f aca="false">T_year_h/Смена!D13</f>
        <v>128.125227382734</v>
      </c>
      <c r="I13" s="13" t="n">
        <f aca="false">H13*Смена!E13/E_bat_kWh</f>
        <v>246.964235336656</v>
      </c>
      <c r="J13" s="13" t="n">
        <f aca="false">MIN(bat_cycles/I13,bat_cal_y)</f>
        <v>10</v>
      </c>
      <c r="K13" s="12" t="n">
        <f aca="false">MAX(0,life_y/J13-1)</f>
        <v>0</v>
      </c>
      <c r="L13" s="20" t="n">
        <f aca="false">(price_ET*(k_CRF-salvage*k_SFF)+C_bat*K13/(1+r_disc)^J13*k_CRF)/H13</f>
        <v>7821.55579845394</v>
      </c>
      <c r="M13" s="20" t="n">
        <f aca="false">price_D*(k_CRF-salvage*k_SFF)/H13</f>
        <v>2969.83885580394</v>
      </c>
      <c r="N13" s="20" t="n">
        <f aca="false">B13+D13+F13</f>
        <v>16413.8107445393</v>
      </c>
      <c r="O13" s="20" t="n">
        <f aca="false">C13+E13+G13</f>
        <v>18333.507938953</v>
      </c>
      <c r="P13" s="20" t="n">
        <f aca="false">N13+L13</f>
        <v>24235.3665429933</v>
      </c>
      <c r="Q13" s="20" t="n">
        <f aca="false">O13+M13</f>
        <v>21303.346794757</v>
      </c>
    </row>
    <row r="14" customFormat="false" ht="15" hidden="false" customHeight="false" outlineLevel="0" collapsed="false">
      <c r="A14" s="17" t="str">
        <f aca="false">Смена!A14</f>
        <v>фреза 0.12×2.7</v>
      </c>
      <c r="B14" s="20" t="n">
        <f aca="false">wage_h*(Смена!D14+2*t_tr*(1+Смена!O14)/Смена!P14)</f>
        <v>9202.85224641285</v>
      </c>
      <c r="C14" s="20" t="n">
        <f aca="false">wage_h*(Смена!D14+2*t_tr/Смена!V14)</f>
        <v>8247.51304175295</v>
      </c>
      <c r="D14" s="20" t="n">
        <f aca="false">Смена!Q14*c_el</f>
        <v>2240.2985530627</v>
      </c>
      <c r="E14" s="20" t="n">
        <f aca="false">Смена!W14*c_D</f>
        <v>4454.78687050824</v>
      </c>
      <c r="F14" s="20" t="n">
        <f aca="false">k_RM_ET*rm_h_D*Смена!D14</f>
        <v>270.222007836702</v>
      </c>
      <c r="G14" s="20" t="n">
        <f aca="false">rm_h_D*Смена!D14</f>
        <v>450.37001306117</v>
      </c>
      <c r="H14" s="13" t="n">
        <f aca="false">T_year_h/Смена!D14</f>
        <v>187.415836406799</v>
      </c>
      <c r="I14" s="13" t="n">
        <f aca="false">H14*Смена!E14/E_bat_kWh</f>
        <v>322.702170129378</v>
      </c>
      <c r="J14" s="13" t="n">
        <f aca="false">MIN(bat_cycles/I14,bat_cal_y)</f>
        <v>9.29649775456186</v>
      </c>
      <c r="K14" s="12" t="n">
        <f aca="false">MAX(0,life_y/J14-1)</f>
        <v>0.0756739004312597</v>
      </c>
      <c r="L14" s="20" t="n">
        <f aca="false">(price_ET*(k_CRF-salvage*k_SFF)+C_bat*K14/(1+r_disc)^J14*k_CRF)/H14</f>
        <v>5417.28649229799</v>
      </c>
      <c r="M14" s="20" t="n">
        <f aca="false">price_D*(k_CRF-salvage*k_SFF)/H14</f>
        <v>2030.30483434726</v>
      </c>
      <c r="N14" s="20" t="n">
        <f aca="false">B14+D14+F14</f>
        <v>11713.3728073123</v>
      </c>
      <c r="O14" s="20" t="n">
        <f aca="false">C14+E14+G14</f>
        <v>13152.6699253224</v>
      </c>
      <c r="P14" s="20" t="n">
        <f aca="false">N14+L14</f>
        <v>17130.6592996102</v>
      </c>
      <c r="Q14" s="20" t="n">
        <f aca="false">O14+M14</f>
        <v>15182.9747596696</v>
      </c>
    </row>
    <row r="15" customFormat="false" ht="15" hidden="false" customHeight="false" outlineLevel="0" collapsed="false">
      <c r="A15" s="17" t="str">
        <f aca="false">Смена!A15</f>
        <v>фреза 0.12×3.6</v>
      </c>
      <c r="B15" s="20" t="n">
        <f aca="false">wage_h*(Смена!D15+2*t_tr*(1+Смена!O15)/Смена!P15)</f>
        <v>7073.51860309229</v>
      </c>
      <c r="C15" s="20" t="n">
        <f aca="false">wage_h*(Смена!D15+2*t_tr/Смена!V15)</f>
        <v>6339.54243620771</v>
      </c>
      <c r="D15" s="20" t="n">
        <f aca="false">Смена!Q15*c_el</f>
        <v>2001.5508888218</v>
      </c>
      <c r="E15" s="20" t="n">
        <f aca="false">Смена!W15*c_D</f>
        <v>3773.48895850081</v>
      </c>
      <c r="F15" s="20" t="n">
        <f aca="false">k_RM_ET*rm_h_D*Смена!D15</f>
        <v>207.698694732702</v>
      </c>
      <c r="G15" s="20" t="n">
        <f aca="false">rm_h_D*Смена!D15</f>
        <v>346.16449122117</v>
      </c>
      <c r="H15" s="13" t="n">
        <f aca="false">T_year_h/Смена!D15</f>
        <v>243.833422638579</v>
      </c>
      <c r="I15" s="13" t="n">
        <f aca="false">H15*Смена!E15/E_bat_kWh</f>
        <v>378.677481238492</v>
      </c>
      <c r="J15" s="13" t="n">
        <f aca="false">MIN(bat_cycles/I15,bat_cal_y)</f>
        <v>7.92230895322394</v>
      </c>
      <c r="K15" s="12" t="n">
        <f aca="false">MAX(0,life_y/J15-1)</f>
        <v>0.262258270794975</v>
      </c>
      <c r="L15" s="20" t="n">
        <f aca="false">(price_ET*(k_CRF-salvage*k_SFF)+C_bat*K15/(1+r_disc)^J15*k_CRF)/H15</f>
        <v>4309.74418503783</v>
      </c>
      <c r="M15" s="20" t="n">
        <f aca="false">price_D*(k_CRF-salvage*k_SFF)/H15</f>
        <v>1560.53782361891</v>
      </c>
      <c r="N15" s="20" t="n">
        <f aca="false">B15+D15+F15</f>
        <v>9282.76818664679</v>
      </c>
      <c r="O15" s="20" t="n">
        <f aca="false">C15+E15+G15</f>
        <v>10459.1958859297</v>
      </c>
      <c r="P15" s="20" t="n">
        <f aca="false">N15+L15</f>
        <v>13592.5123716846</v>
      </c>
      <c r="Q15" s="20" t="n">
        <f aca="false">O15+M15</f>
        <v>12019.7337095486</v>
      </c>
    </row>
    <row r="16" customFormat="false" ht="15" hidden="false" customHeight="false" outlineLevel="0" collapsed="false">
      <c r="A16" s="17" t="str">
        <f aca="false">Смена!A16</f>
        <v>фреза 0.16×1.8</v>
      </c>
      <c r="B16" s="20" t="n">
        <f aca="false">wage_h*(Смена!D16+2*t_tr*(1+Смена!O16)/Смена!P16)</f>
        <v>13461.519533054</v>
      </c>
      <c r="C16" s="20" t="n">
        <f aca="false">wage_h*(Смена!D16+2*t_tr/Смена!V16)</f>
        <v>12063.9387406737</v>
      </c>
      <c r="D16" s="20" t="n">
        <f aca="false">Смена!Q16*c_el</f>
        <v>3131.70641216423</v>
      </c>
      <c r="E16" s="20" t="n">
        <f aca="false">Смена!W16*c_D</f>
        <v>6347.55728958033</v>
      </c>
      <c r="F16" s="20" t="n">
        <f aca="false">k_RM_ET*rm_h_D*Смена!D16</f>
        <v>395.268634044702</v>
      </c>
      <c r="G16" s="20" t="n">
        <f aca="false">rm_h_D*Смена!D16</f>
        <v>658.78105674117</v>
      </c>
      <c r="H16" s="13" t="n">
        <f aca="false">T_year_h/Смена!D16</f>
        <v>128.125227382734</v>
      </c>
      <c r="I16" s="13" t="n">
        <f aca="false">H16*Смена!E16/E_bat_kWh</f>
        <v>307.41733666903</v>
      </c>
      <c r="J16" s="13" t="n">
        <f aca="false">MIN(bat_cycles/I16,bat_cal_y)</f>
        <v>9.75872093781699</v>
      </c>
      <c r="K16" s="12" t="n">
        <f aca="false">MAX(0,life_y/J16-1)</f>
        <v>0.0247244555634341</v>
      </c>
      <c r="L16" s="20" t="n">
        <f aca="false">(price_ET*(k_CRF-salvage*k_SFF)+C_bat*K16/(1+r_disc)^J16*k_CRF)/H16</f>
        <v>7854.33265813292</v>
      </c>
      <c r="M16" s="20" t="n">
        <f aca="false">price_D*(k_CRF-salvage*k_SFF)/H16</f>
        <v>2969.83885580394</v>
      </c>
      <c r="N16" s="20" t="n">
        <f aca="false">B16+D16+F16</f>
        <v>16988.4945792629</v>
      </c>
      <c r="O16" s="20" t="n">
        <f aca="false">C16+E16+G16</f>
        <v>19070.2770869952</v>
      </c>
      <c r="P16" s="20" t="n">
        <f aca="false">N16+L16</f>
        <v>24842.8272373958</v>
      </c>
      <c r="Q16" s="20" t="n">
        <f aca="false">O16+M16</f>
        <v>22040.1159427991</v>
      </c>
    </row>
    <row r="17" customFormat="false" ht="15" hidden="false" customHeight="false" outlineLevel="0" collapsed="false">
      <c r="A17" s="17" t="str">
        <f aca="false">Смена!A17</f>
        <v>фреза 0.16×2.7</v>
      </c>
      <c r="B17" s="20" t="n">
        <f aca="false">wage_h*(Смена!D17+2*t_tr*(1+Смена!O17)/Смена!P17)</f>
        <v>9202.85224641285</v>
      </c>
      <c r="C17" s="20" t="n">
        <f aca="false">wage_h*(Смена!D17+2*t_tr/Смена!V17)</f>
        <v>8248.12310856435</v>
      </c>
      <c r="D17" s="20" t="n">
        <f aca="false">Смена!Q17*c_el</f>
        <v>2761.39195308498</v>
      </c>
      <c r="E17" s="20" t="n">
        <f aca="false">Смена!W17*c_D</f>
        <v>5122.24794108129</v>
      </c>
      <c r="F17" s="20" t="n">
        <f aca="false">k_RM_ET*rm_h_D*Смена!D17</f>
        <v>270.222007836702</v>
      </c>
      <c r="G17" s="20" t="n">
        <f aca="false">rm_h_D*Смена!D17</f>
        <v>450.37001306117</v>
      </c>
      <c r="H17" s="13" t="n">
        <f aca="false">T_year_h/Смена!D17</f>
        <v>187.415836406799</v>
      </c>
      <c r="I17" s="13" t="n">
        <f aca="false">H17*Смена!E17/E_bat_kWh</f>
        <v>402.884156984023</v>
      </c>
      <c r="J17" s="13" t="n">
        <f aca="false">MIN(bat_cycles/I17,bat_cal_y)</f>
        <v>7.44630918837291</v>
      </c>
      <c r="K17" s="12" t="n">
        <f aca="false">MAX(0,life_y/J17-1)</f>
        <v>0.342947189946742</v>
      </c>
      <c r="L17" s="20" t="n">
        <f aca="false">(price_ET*(k_CRF-salvage*k_SFF)+C_bat*K17/(1+r_disc)^J17*k_CRF)/H17</f>
        <v>5695.07164714375</v>
      </c>
      <c r="M17" s="20" t="n">
        <f aca="false">price_D*(k_CRF-salvage*k_SFF)/H17</f>
        <v>2030.30483434726</v>
      </c>
      <c r="N17" s="20" t="n">
        <f aca="false">B17+D17+F17</f>
        <v>12234.4662073345</v>
      </c>
      <c r="O17" s="20" t="n">
        <f aca="false">C17+E17+G17</f>
        <v>13820.7410627068</v>
      </c>
      <c r="P17" s="20" t="n">
        <f aca="false">N17+L17</f>
        <v>17929.5378544783</v>
      </c>
      <c r="Q17" s="20" t="n">
        <f aca="false">O17+M17</f>
        <v>15851.0458970541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1"/>
  </cols>
  <sheetData>
    <row r="1" customFormat="false" ht="15" hidden="false" customHeight="false" outlineLevel="0" collapsed="false">
      <c r="A1" s="2" t="s">
        <v>392</v>
      </c>
    </row>
    <row r="2" customFormat="false" ht="15" hidden="false" customHeight="false" outlineLevel="0" collapsed="false">
      <c r="A2" s="9" t="s">
        <v>393</v>
      </c>
      <c r="B2" s="9" t="s">
        <v>394</v>
      </c>
      <c r="C2" s="9" t="s">
        <v>395</v>
      </c>
      <c r="D2" s="9" t="s">
        <v>396</v>
      </c>
      <c r="E2" s="9" t="s">
        <v>397</v>
      </c>
      <c r="F2" s="9" t="s">
        <v>398</v>
      </c>
      <c r="G2" s="9" t="s">
        <v>399</v>
      </c>
      <c r="H2" s="9" t="s">
        <v>400</v>
      </c>
      <c r="I2" s="9" t="s">
        <v>401</v>
      </c>
    </row>
    <row r="3" customFormat="false" ht="15" hidden="false" customHeight="false" outlineLevel="0" collapsed="false">
      <c r="A3" s="5" t="s">
        <v>402</v>
      </c>
      <c r="B3" s="6" t="n">
        <v>1</v>
      </c>
      <c r="C3" s="21" t="n">
        <v>0.5</v>
      </c>
      <c r="D3" s="21" t="n">
        <v>0.5</v>
      </c>
      <c r="E3" s="21" t="n">
        <v>2</v>
      </c>
      <c r="F3" s="21" t="n">
        <v>1</v>
      </c>
      <c r="G3" s="15" t="n">
        <f aca="false">GEOMEAN(B3:F3)</f>
        <v>0.870550563296124</v>
      </c>
      <c r="H3" s="15" t="n">
        <f aca="false">G3/SUM($G$3:$G$7)</f>
        <v>0.157795219103876</v>
      </c>
      <c r="I3" s="15" t="n">
        <f aca="false">SUMPRODUCT(B3:F3,$B$9:$F$9)/H3</f>
        <v>5.010130168036</v>
      </c>
    </row>
    <row r="4" customFormat="false" ht="15" hidden="false" customHeight="false" outlineLevel="0" collapsed="false">
      <c r="A4" s="5" t="s">
        <v>403</v>
      </c>
      <c r="B4" s="11" t="n">
        <f aca="false">1/C3</f>
        <v>2</v>
      </c>
      <c r="C4" s="6" t="n">
        <v>1</v>
      </c>
      <c r="D4" s="21" t="n">
        <v>1</v>
      </c>
      <c r="E4" s="21" t="n">
        <v>3</v>
      </c>
      <c r="F4" s="21" t="n">
        <v>2</v>
      </c>
      <c r="G4" s="15" t="n">
        <f aca="false">GEOMEAN(B4:F4)</f>
        <v>1.64375182951723</v>
      </c>
      <c r="H4" s="15" t="n">
        <f aca="false">G4/SUM($G$3:$G$7)</f>
        <v>0.297944991396023</v>
      </c>
      <c r="I4" s="15" t="n">
        <f aca="false">SUMPRODUCT(B4:F4,$B$9:$F$9)/H4</f>
        <v>5.00974891108063</v>
      </c>
    </row>
    <row r="5" customFormat="false" ht="15" hidden="false" customHeight="false" outlineLevel="0" collapsed="false">
      <c r="A5" s="5" t="s">
        <v>404</v>
      </c>
      <c r="B5" s="11" t="n">
        <f aca="false">1/D3</f>
        <v>2</v>
      </c>
      <c r="C5" s="11" t="n">
        <f aca="false">1/D4</f>
        <v>1</v>
      </c>
      <c r="D5" s="6" t="n">
        <v>1</v>
      </c>
      <c r="E5" s="21" t="n">
        <v>3</v>
      </c>
      <c r="F5" s="21" t="n">
        <v>2</v>
      </c>
      <c r="G5" s="15" t="n">
        <f aca="false">GEOMEAN(B5:F5)</f>
        <v>1.64375182951723</v>
      </c>
      <c r="H5" s="15" t="n">
        <f aca="false">G5/SUM($G$3:$G$7)</f>
        <v>0.297944991396023</v>
      </c>
      <c r="I5" s="15" t="n">
        <f aca="false">SUMPRODUCT(B5:F5,$B$9:$F$9)/H5</f>
        <v>5.00974891108063</v>
      </c>
    </row>
    <row r="6" customFormat="false" ht="15" hidden="false" customHeight="false" outlineLevel="0" collapsed="false">
      <c r="A6" s="5" t="s">
        <v>405</v>
      </c>
      <c r="B6" s="11" t="n">
        <f aca="false">1/E3</f>
        <v>0.5</v>
      </c>
      <c r="C6" s="11" t="n">
        <f aca="false">1/E4</f>
        <v>0.333333333333333</v>
      </c>
      <c r="D6" s="11" t="n">
        <f aca="false">1/E5</f>
        <v>0.333333333333333</v>
      </c>
      <c r="E6" s="6" t="n">
        <v>1</v>
      </c>
      <c r="F6" s="21" t="n">
        <v>0.5</v>
      </c>
      <c r="G6" s="15" t="n">
        <f aca="false">GEOMEAN(B6:F6)</f>
        <v>0.488359341930587</v>
      </c>
      <c r="H6" s="15" t="n">
        <f aca="false">G6/SUM($G$3:$G$7)</f>
        <v>0.0885195790002019</v>
      </c>
      <c r="I6" s="15" t="n">
        <f aca="false">SUMPRODUCT(B6:F6,$B$9:$F$9)/H6</f>
        <v>5.0265127488584</v>
      </c>
    </row>
    <row r="7" customFormat="false" ht="15" hidden="false" customHeight="false" outlineLevel="0" collapsed="false">
      <c r="A7" s="5" t="s">
        <v>406</v>
      </c>
      <c r="B7" s="11" t="n">
        <f aca="false">1/F3</f>
        <v>1</v>
      </c>
      <c r="C7" s="11" t="n">
        <f aca="false">1/F4</f>
        <v>0.5</v>
      </c>
      <c r="D7" s="11" t="n">
        <f aca="false">1/F5</f>
        <v>0.5</v>
      </c>
      <c r="E7" s="11" t="n">
        <f aca="false">1/F6</f>
        <v>2</v>
      </c>
      <c r="F7" s="6" t="n">
        <v>1</v>
      </c>
      <c r="G7" s="15" t="n">
        <f aca="false">GEOMEAN(B7:F7)</f>
        <v>0.870550563296124</v>
      </c>
      <c r="H7" s="15" t="n">
        <f aca="false">G7/SUM($G$3:$G$7)</f>
        <v>0.157795219103876</v>
      </c>
      <c r="I7" s="15" t="n">
        <f aca="false">SUMPRODUCT(B7:F7,$B$9:$F$9)/H7</f>
        <v>5.010130168036</v>
      </c>
    </row>
    <row r="9" customFormat="false" ht="15" hidden="false" customHeight="false" outlineLevel="0" collapsed="false">
      <c r="A9" s="6" t="s">
        <v>407</v>
      </c>
      <c r="B9" s="15" t="n">
        <f aca="false">H3</f>
        <v>0.157795219103876</v>
      </c>
      <c r="C9" s="15" t="n">
        <f aca="false">H4</f>
        <v>0.297944991396023</v>
      </c>
      <c r="D9" s="15" t="n">
        <f aca="false">H5</f>
        <v>0.297944991396023</v>
      </c>
      <c r="E9" s="15" t="n">
        <f aca="false">H6</f>
        <v>0.0885195790002019</v>
      </c>
      <c r="F9" s="15" t="n">
        <f aca="false">H7</f>
        <v>0.157795219103876</v>
      </c>
    </row>
    <row r="10" customFormat="false" ht="15" hidden="false" customHeight="false" outlineLevel="0" collapsed="false">
      <c r="A10" s="6" t="s">
        <v>408</v>
      </c>
      <c r="B10" s="15" t="n">
        <f aca="false">AVERAGE(I3:I7)</f>
        <v>5.01325418141833</v>
      </c>
    </row>
    <row r="11" customFormat="false" ht="15" hidden="false" customHeight="false" outlineLevel="0" collapsed="false">
      <c r="A11" s="6" t="s">
        <v>409</v>
      </c>
      <c r="B11" s="15" t="n">
        <f aca="false">(B10-5)/4</f>
        <v>0.00331354535458295</v>
      </c>
    </row>
    <row r="12" customFormat="false" ht="15" hidden="false" customHeight="false" outlineLevel="0" collapsed="false">
      <c r="A12" s="6" t="s">
        <v>410</v>
      </c>
      <c r="B12" s="22" t="n">
        <f aca="false">B11/1.12</f>
        <v>0.00295852263802049</v>
      </c>
    </row>
    <row r="15" customFormat="false" ht="15" hidden="false" customHeight="false" outlineLevel="0" collapsed="false">
      <c r="A15" s="2" t="s">
        <v>411</v>
      </c>
    </row>
    <row r="16" customFormat="false" ht="15" hidden="false" customHeight="false" outlineLevel="0" collapsed="false">
      <c r="A16" s="9" t="s">
        <v>402</v>
      </c>
      <c r="B16" s="9" t="s">
        <v>412</v>
      </c>
      <c r="C16" s="9" t="s">
        <v>413</v>
      </c>
      <c r="D16" s="9" t="s">
        <v>414</v>
      </c>
      <c r="E16" s="9" t="s">
        <v>415</v>
      </c>
    </row>
    <row r="17" customFormat="false" ht="15" hidden="false" customHeight="false" outlineLevel="0" collapsed="false">
      <c r="A17" s="5" t="s">
        <v>412</v>
      </c>
      <c r="B17" s="6" t="n">
        <v>1</v>
      </c>
      <c r="C17" s="21" t="n">
        <v>0.5</v>
      </c>
      <c r="D17" s="15" t="n">
        <f aca="false">GEOMEAN(B17:C17)</f>
        <v>0.707106781186548</v>
      </c>
      <c r="E17" s="15" t="n">
        <f aca="false">D17/SUM($D$17:$D$18)</f>
        <v>0.333333333333333</v>
      </c>
    </row>
    <row r="18" customFormat="false" ht="15" hidden="false" customHeight="false" outlineLevel="0" collapsed="false">
      <c r="A18" s="5" t="s">
        <v>413</v>
      </c>
      <c r="B18" s="11" t="n">
        <f aca="false">1/C17</f>
        <v>2</v>
      </c>
      <c r="C18" s="6" t="n">
        <v>1</v>
      </c>
      <c r="D18" s="15" t="n">
        <f aca="false">GEOMEAN(B18:C18)</f>
        <v>1.4142135623731</v>
      </c>
      <c r="E18" s="15" t="n">
        <f aca="false">D18/SUM($D$17:$D$18)</f>
        <v>0.666666666666667</v>
      </c>
    </row>
    <row r="20" customFormat="false" ht="15" hidden="false" customHeight="false" outlineLevel="0" collapsed="false">
      <c r="A20" s="9" t="s">
        <v>403</v>
      </c>
      <c r="B20" s="9" t="s">
        <v>416</v>
      </c>
      <c r="C20" s="9" t="s">
        <v>417</v>
      </c>
      <c r="D20" s="9" t="s">
        <v>418</v>
      </c>
      <c r="E20" s="9" t="s">
        <v>414</v>
      </c>
      <c r="F20" s="9" t="s">
        <v>415</v>
      </c>
    </row>
    <row r="21" customFormat="false" ht="15" hidden="false" customHeight="false" outlineLevel="0" collapsed="false">
      <c r="A21" s="5" t="s">
        <v>416</v>
      </c>
      <c r="B21" s="6" t="n">
        <v>1</v>
      </c>
      <c r="C21" s="21" t="n">
        <v>3</v>
      </c>
      <c r="D21" s="21" t="n">
        <v>2</v>
      </c>
      <c r="E21" s="15" t="n">
        <f aca="false">GEOMEAN(B21:D21)</f>
        <v>1.81712059283214</v>
      </c>
      <c r="F21" s="15" t="n">
        <f aca="false">E21/SUM($E$21:$E$23)</f>
        <v>0.539614550221075</v>
      </c>
    </row>
    <row r="22" customFormat="false" ht="15" hidden="false" customHeight="false" outlineLevel="0" collapsed="false">
      <c r="A22" s="5" t="s">
        <v>417</v>
      </c>
      <c r="B22" s="11" t="n">
        <f aca="false">1/C21</f>
        <v>0.333333333333333</v>
      </c>
      <c r="C22" s="6" t="n">
        <v>1</v>
      </c>
      <c r="D22" s="21" t="n">
        <v>0.5</v>
      </c>
      <c r="E22" s="15" t="n">
        <f aca="false">GEOMEAN(B22:D22)</f>
        <v>0.550321208149105</v>
      </c>
      <c r="F22" s="15" t="n">
        <f aca="false">E22/SUM($E$21:$E$23)</f>
        <v>0.163424118566428</v>
      </c>
    </row>
    <row r="23" customFormat="false" ht="15" hidden="false" customHeight="false" outlineLevel="0" collapsed="false">
      <c r="A23" s="5" t="s">
        <v>418</v>
      </c>
      <c r="B23" s="11" t="n">
        <f aca="false">1/D21</f>
        <v>0.5</v>
      </c>
      <c r="C23" s="11" t="n">
        <f aca="false">1/D22</f>
        <v>2</v>
      </c>
      <c r="D23" s="6" t="n">
        <v>1</v>
      </c>
      <c r="E23" s="15" t="n">
        <f aca="false">GEOMEAN(B23:D23)</f>
        <v>1</v>
      </c>
      <c r="F23" s="15" t="n">
        <f aca="false">E23/SUM($E$21:$E$23)</f>
        <v>0.296961331212497</v>
      </c>
    </row>
    <row r="25" customFormat="false" ht="15" hidden="false" customHeight="false" outlineLevel="0" collapsed="false">
      <c r="A25" s="9" t="s">
        <v>404</v>
      </c>
      <c r="B25" s="9" t="s">
        <v>419</v>
      </c>
      <c r="C25" s="9" t="s">
        <v>420</v>
      </c>
      <c r="D25" s="9" t="s">
        <v>414</v>
      </c>
      <c r="E25" s="9" t="s">
        <v>415</v>
      </c>
    </row>
    <row r="26" customFormat="false" ht="15" hidden="false" customHeight="false" outlineLevel="0" collapsed="false">
      <c r="A26" s="5" t="s">
        <v>419</v>
      </c>
      <c r="B26" s="6" t="n">
        <v>1</v>
      </c>
      <c r="C26" s="21" t="n">
        <v>0.5</v>
      </c>
      <c r="D26" s="15" t="n">
        <f aca="false">GEOMEAN(B26:C26)</f>
        <v>0.707106781186548</v>
      </c>
      <c r="E26" s="15" t="n">
        <f aca="false">D26/SUM($D$26:$D$27)</f>
        <v>0.333333333333333</v>
      </c>
    </row>
    <row r="27" customFormat="false" ht="15" hidden="false" customHeight="false" outlineLevel="0" collapsed="false">
      <c r="A27" s="5" t="s">
        <v>420</v>
      </c>
      <c r="B27" s="11" t="n">
        <f aca="false">1/C26</f>
        <v>2</v>
      </c>
      <c r="C27" s="6" t="n">
        <v>1</v>
      </c>
      <c r="D27" s="15" t="n">
        <f aca="false">GEOMEAN(B27:C27)</f>
        <v>1.4142135623731</v>
      </c>
      <c r="E27" s="15" t="n">
        <f aca="false">D27/SUM($D$26:$D$27)</f>
        <v>0.666666666666667</v>
      </c>
    </row>
    <row r="29" customFormat="false" ht="15" hidden="false" customHeight="false" outlineLevel="0" collapsed="false">
      <c r="A29" s="9" t="s">
        <v>405</v>
      </c>
      <c r="B29" s="9" t="s">
        <v>421</v>
      </c>
      <c r="C29" s="9" t="s">
        <v>422</v>
      </c>
      <c r="D29" s="9" t="s">
        <v>414</v>
      </c>
      <c r="E29" s="9" t="s">
        <v>415</v>
      </c>
    </row>
    <row r="30" customFormat="false" ht="15" hidden="false" customHeight="false" outlineLevel="0" collapsed="false">
      <c r="A30" s="5" t="s">
        <v>421</v>
      </c>
      <c r="B30" s="6" t="n">
        <v>1</v>
      </c>
      <c r="C30" s="21" t="n">
        <v>2</v>
      </c>
      <c r="D30" s="15" t="n">
        <f aca="false">GEOMEAN(B30:C30)</f>
        <v>1.4142135623731</v>
      </c>
      <c r="E30" s="15" t="n">
        <f aca="false">D30/SUM($D$30:$D$31)</f>
        <v>0.666666666666667</v>
      </c>
    </row>
    <row r="31" customFormat="false" ht="15" hidden="false" customHeight="false" outlineLevel="0" collapsed="false">
      <c r="A31" s="5" t="s">
        <v>422</v>
      </c>
      <c r="B31" s="11" t="n">
        <f aca="false">1/C30</f>
        <v>0.5</v>
      </c>
      <c r="C31" s="6" t="n">
        <v>1</v>
      </c>
      <c r="D31" s="15" t="n">
        <f aca="false">GEOMEAN(B31:C31)</f>
        <v>0.707106781186548</v>
      </c>
      <c r="E31" s="15" t="n">
        <f aca="false">D31/SUM($D$30:$D$31)</f>
        <v>0.333333333333333</v>
      </c>
    </row>
    <row r="33" customFormat="false" ht="15" hidden="false" customHeight="false" outlineLevel="0" collapsed="false">
      <c r="A33" s="9" t="s">
        <v>406</v>
      </c>
      <c r="B33" s="9" t="s">
        <v>423</v>
      </c>
      <c r="C33" s="9" t="s">
        <v>414</v>
      </c>
      <c r="D33" s="9" t="s">
        <v>415</v>
      </c>
    </row>
    <row r="34" customFormat="false" ht="15" hidden="false" customHeight="false" outlineLevel="0" collapsed="false">
      <c r="A34" s="5" t="s">
        <v>423</v>
      </c>
      <c r="B34" s="6" t="n">
        <v>1</v>
      </c>
      <c r="C34" s="15" t="n">
        <f aca="false">GEOMEAN(B34:B34)</f>
        <v>1</v>
      </c>
      <c r="D34" s="15" t="n">
        <f aca="false">C34/SUM($C$34:$C$34)</f>
        <v>1</v>
      </c>
    </row>
    <row r="37" customFormat="false" ht="15" hidden="false" customHeight="false" outlineLevel="0" collapsed="false">
      <c r="A37" s="2" t="s">
        <v>424</v>
      </c>
    </row>
    <row r="38" customFormat="false" ht="15" hidden="false" customHeight="false" outlineLevel="0" collapsed="false">
      <c r="A38" s="9" t="s">
        <v>425</v>
      </c>
      <c r="B38" s="9" t="s">
        <v>393</v>
      </c>
      <c r="C38" s="9" t="s">
        <v>426</v>
      </c>
      <c r="D38" s="9" t="s">
        <v>427</v>
      </c>
      <c r="E38" s="9" t="s">
        <v>428</v>
      </c>
    </row>
    <row r="39" customFormat="false" ht="15" hidden="false" customHeight="false" outlineLevel="0" collapsed="false">
      <c r="A39" s="5" t="s">
        <v>412</v>
      </c>
      <c r="B39" s="6" t="s">
        <v>402</v>
      </c>
      <c r="C39" s="15" t="n">
        <f aca="false">$H$3*$E$17</f>
        <v>0.0525984063679585</v>
      </c>
      <c r="D39" s="23" t="n">
        <f aca="false">Энтропия!B$40</f>
        <v>0.0892372518366141</v>
      </c>
      <c r="E39" s="22" t="n">
        <f aca="false">(alpha_w*C39+(1-alpha_w)*D39)/(alpha_w*SUM($C$39:$C$48)+(1-alpha_w)*SUM($D$39:$D$48))</f>
        <v>0.0709178291022863</v>
      </c>
    </row>
    <row r="40" customFormat="false" ht="15" hidden="false" customHeight="false" outlineLevel="0" collapsed="false">
      <c r="A40" s="5" t="s">
        <v>413</v>
      </c>
      <c r="B40" s="6" t="s">
        <v>402</v>
      </c>
      <c r="C40" s="15" t="n">
        <f aca="false">$H$3*$E$18</f>
        <v>0.105196812735917</v>
      </c>
      <c r="D40" s="23" t="n">
        <f aca="false">Энтропия!C$40</f>
        <v>0.0672206876756696</v>
      </c>
      <c r="E40" s="22" t="n">
        <f aca="false">(alpha_w*C40+(1-alpha_w)*D40)/(alpha_w*SUM($C$39:$C$48)+(1-alpha_w)*SUM($D$39:$D$48))</f>
        <v>0.0862087502057934</v>
      </c>
    </row>
    <row r="41" customFormat="false" ht="15" hidden="false" customHeight="false" outlineLevel="0" collapsed="false">
      <c r="A41" s="5" t="s">
        <v>416</v>
      </c>
      <c r="B41" s="6" t="s">
        <v>403</v>
      </c>
      <c r="C41" s="15" t="n">
        <f aca="false">$H$4*$F$21</f>
        <v>0.160775452522787</v>
      </c>
      <c r="D41" s="23" t="n">
        <f aca="false">Энтропия!D$40</f>
        <v>0.148411837530127</v>
      </c>
      <c r="E41" s="22" t="n">
        <f aca="false">(alpha_w*C41+(1-alpha_w)*D41)/(alpha_w*SUM($C$39:$C$48)+(1-alpha_w)*SUM($D$39:$D$48))</f>
        <v>0.154593645026457</v>
      </c>
    </row>
    <row r="42" customFormat="false" ht="15" hidden="false" customHeight="false" outlineLevel="0" collapsed="false">
      <c r="A42" s="5" t="s">
        <v>417</v>
      </c>
      <c r="B42" s="6" t="s">
        <v>403</v>
      </c>
      <c r="C42" s="15" t="n">
        <f aca="false">$H$4*$F$22</f>
        <v>0.0486913976001771</v>
      </c>
      <c r="D42" s="23" t="n">
        <f aca="false">Энтропия!E$40</f>
        <v>0.179408868955857</v>
      </c>
      <c r="E42" s="22" t="n">
        <f aca="false">(alpha_w*C42+(1-alpha_w)*D42)/(alpha_w*SUM($C$39:$C$48)+(1-alpha_w)*SUM($D$39:$D$48))</f>
        <v>0.114050133278017</v>
      </c>
    </row>
    <row r="43" customFormat="false" ht="15" hidden="false" customHeight="false" outlineLevel="0" collapsed="false">
      <c r="A43" s="5" t="s">
        <v>418</v>
      </c>
      <c r="B43" s="6" t="s">
        <v>403</v>
      </c>
      <c r="C43" s="15" t="n">
        <f aca="false">$H$4*$F$23</f>
        <v>0.0884781412730592</v>
      </c>
      <c r="D43" s="23" t="n">
        <f aca="false">Энтропия!F$40</f>
        <v>0.0323558799383114</v>
      </c>
      <c r="E43" s="22" t="n">
        <f aca="false">(alpha_w*C43+(1-alpha_w)*D43)/(alpha_w*SUM($C$39:$C$48)+(1-alpha_w)*SUM($D$39:$D$48))</f>
        <v>0.0604170106056853</v>
      </c>
    </row>
    <row r="44" customFormat="false" ht="15" hidden="false" customHeight="false" outlineLevel="0" collapsed="false">
      <c r="A44" s="5" t="s">
        <v>419</v>
      </c>
      <c r="B44" s="6" t="s">
        <v>404</v>
      </c>
      <c r="C44" s="15" t="n">
        <f aca="false">$H$5*$E$26</f>
        <v>0.0993149971320078</v>
      </c>
      <c r="D44" s="23" t="n">
        <f aca="false">Энтропия!G$40</f>
        <v>0.0772991361290431</v>
      </c>
      <c r="E44" s="22" t="n">
        <f aca="false">(alpha_w*C44+(1-alpha_w)*D44)/(alpha_w*SUM($C$39:$C$48)+(1-alpha_w)*SUM($D$39:$D$48))</f>
        <v>0.0883070666305255</v>
      </c>
    </row>
    <row r="45" customFormat="false" ht="15" hidden="false" customHeight="false" outlineLevel="0" collapsed="false">
      <c r="A45" s="5" t="s">
        <v>420</v>
      </c>
      <c r="B45" s="6" t="s">
        <v>404</v>
      </c>
      <c r="C45" s="15" t="n">
        <f aca="false">$H$5*$E$27</f>
        <v>0.198629994264016</v>
      </c>
      <c r="D45" s="23" t="n">
        <f aca="false">Энтропия!H$40</f>
        <v>0.0753058433590029</v>
      </c>
      <c r="E45" s="22" t="n">
        <f aca="false">(alpha_w*C45+(1-alpha_w)*D45)/(alpha_w*SUM($C$39:$C$48)+(1-alpha_w)*SUM($D$39:$D$48))</f>
        <v>0.136967918811509</v>
      </c>
    </row>
    <row r="46" customFormat="false" ht="15" hidden="false" customHeight="false" outlineLevel="0" collapsed="false">
      <c r="A46" s="5" t="s">
        <v>421</v>
      </c>
      <c r="B46" s="6" t="s">
        <v>405</v>
      </c>
      <c r="C46" s="15" t="n">
        <f aca="false">$H$6*$E$30</f>
        <v>0.0590130526668012</v>
      </c>
      <c r="D46" s="23" t="n">
        <f aca="false">Энтропия!I$40</f>
        <v>0.0678563987661437</v>
      </c>
      <c r="E46" s="22" t="n">
        <f aca="false">(alpha_w*C46+(1-alpha_w)*D46)/(alpha_w*SUM($C$39:$C$48)+(1-alpha_w)*SUM($D$39:$D$48))</f>
        <v>0.0634347257164725</v>
      </c>
    </row>
    <row r="47" customFormat="false" ht="15" hidden="false" customHeight="false" outlineLevel="0" collapsed="false">
      <c r="A47" s="5" t="s">
        <v>422</v>
      </c>
      <c r="B47" s="6" t="s">
        <v>405</v>
      </c>
      <c r="C47" s="15" t="n">
        <f aca="false">$H$6*$E$31</f>
        <v>0.0295065263334006</v>
      </c>
      <c r="D47" s="23" t="n">
        <f aca="false">Энтропия!J$40</f>
        <v>0.167672485177433</v>
      </c>
      <c r="E47" s="22" t="n">
        <f aca="false">(alpha_w*C47+(1-alpha_w)*D47)/(alpha_w*SUM($C$39:$C$48)+(1-alpha_w)*SUM($D$39:$D$48))</f>
        <v>0.098589505755417</v>
      </c>
    </row>
    <row r="48" customFormat="false" ht="15" hidden="false" customHeight="false" outlineLevel="0" collapsed="false">
      <c r="A48" s="5" t="s">
        <v>423</v>
      </c>
      <c r="B48" s="6" t="s">
        <v>406</v>
      </c>
      <c r="C48" s="15" t="n">
        <f aca="false">$H$7*$D$34</f>
        <v>0.157795219103876</v>
      </c>
      <c r="D48" s="23" t="n">
        <f aca="false">Энтропия!K$40</f>
        <v>0.0952316106317977</v>
      </c>
      <c r="E48" s="22" t="n">
        <f aca="false">(alpha_w*C48+(1-alpha_w)*D48)/(alpha_w*SUM($C$39:$C$48)+(1-alpha_w)*SUM($D$39:$D$48))</f>
        <v>0.126513414867837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4" min="3" style="0" width="9"/>
  </cols>
  <sheetData>
    <row r="1" customFormat="false" ht="45" hidden="false" customHeight="true" outlineLevel="0" collapsed="false">
      <c r="A1" s="4" t="s">
        <v>353</v>
      </c>
      <c r="B1" s="4" t="s">
        <v>429</v>
      </c>
      <c r="C1" s="4" t="s">
        <v>430</v>
      </c>
      <c r="D1" s="4" t="s">
        <v>431</v>
      </c>
      <c r="E1" s="4" t="s">
        <v>432</v>
      </c>
      <c r="F1" s="4" t="s">
        <v>433</v>
      </c>
      <c r="G1" s="4" t="s">
        <v>434</v>
      </c>
      <c r="H1" s="4" t="s">
        <v>435</v>
      </c>
      <c r="I1" s="4" t="s">
        <v>436</v>
      </c>
      <c r="J1" s="4" t="s">
        <v>437</v>
      </c>
      <c r="K1" s="4" t="s">
        <v>438</v>
      </c>
      <c r="L1" s="4" t="s">
        <v>439</v>
      </c>
      <c r="M1" s="4" t="s">
        <v>440</v>
      </c>
      <c r="N1" s="4" t="s">
        <v>441</v>
      </c>
      <c r="O1" s="4" t="s">
        <v>442</v>
      </c>
      <c r="P1" s="4" t="s">
        <v>443</v>
      </c>
      <c r="Q1" s="4" t="s">
        <v>444</v>
      </c>
      <c r="R1" s="4" t="s">
        <v>445</v>
      </c>
      <c r="S1" s="4" t="s">
        <v>446</v>
      </c>
      <c r="T1" s="4" t="s">
        <v>447</v>
      </c>
      <c r="U1" s="4" t="s">
        <v>448</v>
      </c>
      <c r="V1" s="4" t="s">
        <v>449</v>
      </c>
      <c r="W1" s="4" t="s">
        <v>450</v>
      </c>
      <c r="X1" s="4" t="s">
        <v>451</v>
      </c>
      <c r="Y1" s="4" t="s">
        <v>452</v>
      </c>
      <c r="Z1" s="4" t="s">
        <v>453</v>
      </c>
      <c r="AA1" s="4" t="s">
        <v>454</v>
      </c>
      <c r="AB1" s="4" t="s">
        <v>455</v>
      </c>
      <c r="AC1" s="4" t="s">
        <v>456</v>
      </c>
      <c r="AD1" s="4" t="s">
        <v>457</v>
      </c>
      <c r="AE1" s="4" t="s">
        <v>458</v>
      </c>
      <c r="AF1" s="4" t="s">
        <v>459</v>
      </c>
      <c r="AG1" s="4" t="s">
        <v>460</v>
      </c>
      <c r="AH1" s="4" t="s">
        <v>461</v>
      </c>
    </row>
    <row r="2" customFormat="false" ht="15" hidden="false" customHeight="false" outlineLevel="0" collapsed="false">
      <c r="A2" s="17" t="str">
        <f aca="false">Смена!A2</f>
        <v>культиватор 0.08×3.6</v>
      </c>
      <c r="B2" s="19" t="b">
        <f aca="false">AND(Энергетика!Q2,Энергетика!R2)</f>
        <v>1</v>
      </c>
      <c r="C2" s="12" t="n">
        <f aca="false">IF(S_task&gt;0,S_task,Смена!V2)</f>
        <v>2.8207156997683</v>
      </c>
      <c r="D2" s="11" t="n">
        <f aca="false">3.6*Смена!Q2</f>
        <v>79.359430125058</v>
      </c>
      <c r="E2" s="11" t="n">
        <f aca="false">3.6*Смена!Q2*PEF_el</f>
        <v>198.398575312645</v>
      </c>
      <c r="F2" s="11" t="n">
        <f aca="false">MIN(1,Смена!P2/C2)</f>
        <v>0.29216555243855</v>
      </c>
      <c r="G2" s="11" t="n">
        <f aca="false">100*Энергетика!I2</f>
        <v>6.05067711975939</v>
      </c>
      <c r="H2" s="11" t="n">
        <f aca="false">100*Энергетика!O2</f>
        <v>53.9220106787431</v>
      </c>
      <c r="I2" s="11" t="n">
        <f aca="false">Экономика!N2</f>
        <v>8106.17610707914</v>
      </c>
      <c r="J2" s="11" t="n">
        <f aca="false">Экономика!P2</f>
        <v>12387.3545423373</v>
      </c>
      <c r="K2" s="11" t="n">
        <f aca="false">Смена!Q2*EF_grid</f>
        <v>13.3588374043848</v>
      </c>
      <c r="L2" s="11" t="n">
        <f aca="false">0</f>
        <v>0</v>
      </c>
      <c r="M2" s="11" t="n">
        <f aca="false">MIN(1,Смена!H2/C2)</f>
        <v>0.308038555685885</v>
      </c>
      <c r="N2" s="11" t="n">
        <f aca="false">Смена!W2*LHV_D</f>
        <v>273.776719655</v>
      </c>
      <c r="O2" s="11" t="n">
        <f aca="false">Смена!W2*LHV_D*PEF_D</f>
        <v>314.84322760325</v>
      </c>
      <c r="P2" s="11" t="n">
        <f aca="false">MIN(1,Смена!V2/C2)</f>
        <v>1</v>
      </c>
      <c r="Q2" s="11" t="n">
        <f aca="false">100*Энергетика!K2</f>
        <v>7.13834243403734</v>
      </c>
      <c r="R2" s="11" t="n">
        <f aca="false">100*Энергетика!P2</f>
        <v>58.5227249567695</v>
      </c>
      <c r="S2" s="11" t="n">
        <f aca="false">Экономика!O2</f>
        <v>9594.15579953004</v>
      </c>
      <c r="T2" s="11" t="n">
        <f aca="false">Экономика!Q2</f>
        <v>11219.7160324664</v>
      </c>
      <c r="U2" s="11" t="n">
        <f aca="false">Смена!W2*EF_D</f>
        <v>20.4379278182562</v>
      </c>
      <c r="V2" s="11" t="n">
        <f aca="false">Смена!W2*EF_D</f>
        <v>20.4379278182562</v>
      </c>
      <c r="W2" s="11" t="n">
        <f aca="false">MIN(1,Смена!X2/C2)</f>
        <v>1</v>
      </c>
      <c r="X2" s="11" t="n">
        <f aca="false">IF(MAX(ABS(D2),ABS(N2))=0,0,-1*(D2-N2)/MAX(ABS(D2),ABS(N2)))</f>
        <v>0.710130831339265</v>
      </c>
      <c r="Y2" s="11" t="n">
        <f aca="false">IF(MAX(ABS(E2),ABS(O2))=0,0,-1*(E2-O2)/MAX(ABS(E2),ABS(O2)))</f>
        <v>0.369849633346227</v>
      </c>
      <c r="Z2" s="11" t="n">
        <f aca="false">IF(MAX(ABS(F2),ABS(P2))=0,0,1*(F2-P2)/MAX(ABS(F2),ABS(P2)))</f>
        <v>-0.70783444756145</v>
      </c>
      <c r="AA2" s="11" t="n">
        <f aca="false">IF(MAX(ABS(G2),ABS(Q2))=0,0,-1*(G2-Q2)/MAX(ABS(G2),ABS(Q2)))</f>
        <v>0.152369450517211</v>
      </c>
      <c r="AB2" s="11" t="n">
        <f aca="false">IF(MAX(ABS(H2),ABS(R2))=0,0,1*(H2-R2)/MAX(ABS(H2),ABS(R2)))</f>
        <v>-0.0786141499977127</v>
      </c>
      <c r="AC2" s="11" t="n">
        <f aca="false">IF(MAX(ABS(I2),ABS(S2))=0,0,-1*(I2-S2)/MAX(ABS(I2),ABS(S2)))</f>
        <v>0.155092300306796</v>
      </c>
      <c r="AD2" s="11" t="n">
        <f aca="false">IF(MAX(ABS(J2),ABS(T2))=0,0,-1*(J2-T2)/MAX(ABS(J2),ABS(T2)))</f>
        <v>-0.0942605223641696</v>
      </c>
      <c r="AE2" s="11" t="n">
        <f aca="false">IF(MAX(ABS(K2),ABS(U2))=0,0,-1*(K2-U2)/MAX(ABS(K2),ABS(U2)))</f>
        <v>0.346370262035473</v>
      </c>
      <c r="AF2" s="11" t="n">
        <f aca="false">IF(MAX(ABS(L2),ABS(V2))=0,0,-1*(L2-V2)/MAX(ABS(L2),ABS(V2)))</f>
        <v>1</v>
      </c>
      <c r="AG2" s="11" t="n">
        <f aca="false">IF(MAX(ABS(M2),ABS(W2))=0,0,1*(M2-W2)/MAX(ABS(M2),ABS(W2)))</f>
        <v>-0.691961444314116</v>
      </c>
      <c r="AH2" s="24" t="n">
        <f aca="false">IF(B2,Веса!$E$39*X2+Веса!$E$40*Y2+Веса!$E$41*Z2+Веса!$E$42*AA2+Веса!$E$43*AB2+Веса!$E$44*AC2+Веса!$E$45*AD2+Веса!$E$46*AE2+Веса!$E$47*AF2+Веса!$E$48*AG2,"")</f>
        <v>0.0192507100427242</v>
      </c>
    </row>
    <row r="3" customFormat="false" ht="15" hidden="false" customHeight="false" outlineLevel="0" collapsed="false">
      <c r="A3" s="17" t="str">
        <f aca="false">Смена!A3</f>
        <v>культиватор 0.08×4.5</v>
      </c>
      <c r="B3" s="19" t="b">
        <f aca="false">AND(Энергетика!Q3,Энергетика!R3)</f>
        <v>1</v>
      </c>
      <c r="C3" s="12" t="n">
        <f aca="false">IF(S_task&gt;0,S_task,Смена!V3)</f>
        <v>3.43646625603563</v>
      </c>
      <c r="D3" s="11" t="n">
        <f aca="false">3.6*Смена!Q3</f>
        <v>83.9241664732351</v>
      </c>
      <c r="E3" s="11" t="n">
        <f aca="false">3.6*Смена!Q3*PEF_el</f>
        <v>209.810416183088</v>
      </c>
      <c r="F3" s="11" t="n">
        <f aca="false">MIN(1,Смена!P3/C3)</f>
        <v>0.264590189630799</v>
      </c>
      <c r="G3" s="11" t="n">
        <f aca="false">100*Энергетика!I3</f>
        <v>6.28108824565419</v>
      </c>
      <c r="H3" s="11" t="n">
        <f aca="false">100*Энергетика!O3</f>
        <v>41.4123722891585</v>
      </c>
      <c r="I3" s="11" t="n">
        <f aca="false">Экономика!N3</f>
        <v>7277.49707344535</v>
      </c>
      <c r="J3" s="11" t="n">
        <f aca="false">Экономика!P3</f>
        <v>10785.4204044106</v>
      </c>
      <c r="K3" s="11" t="n">
        <f aca="false">Смена!Q3*EF_grid</f>
        <v>14.1272346896612</v>
      </c>
      <c r="L3" s="11" t="n">
        <f aca="false">0</f>
        <v>0</v>
      </c>
      <c r="M3" s="11" t="n">
        <f aca="false">MIN(1,Смена!H3/C3)</f>
        <v>0.248741983586481</v>
      </c>
      <c r="N3" s="11" t="n">
        <f aca="false">Смена!W3*LHV_D</f>
        <v>248.780452554724</v>
      </c>
      <c r="O3" s="11" t="n">
        <f aca="false">Смена!W3*LHV_D*PEF_D</f>
        <v>286.097520437932</v>
      </c>
      <c r="P3" s="11" t="n">
        <f aca="false">MIN(1,Смена!V3/C3)</f>
        <v>1</v>
      </c>
      <c r="Q3" s="11" t="n">
        <f aca="false">100*Энергетика!K3</f>
        <v>7.42159785469284</v>
      </c>
      <c r="R3" s="11" t="n">
        <f aca="false">100*Энергетика!P3</f>
        <v>47.1798364025519</v>
      </c>
      <c r="S3" s="11" t="n">
        <f aca="false">Экономика!O3</f>
        <v>8096.44187575985</v>
      </c>
      <c r="T3" s="11" t="n">
        <f aca="false">Экономика!Q3</f>
        <v>9428.397726991</v>
      </c>
      <c r="U3" s="11" t="n">
        <f aca="false">Смена!W3*EF_D</f>
        <v>18.5719112213554</v>
      </c>
      <c r="V3" s="11" t="n">
        <f aca="false">Смена!W3*EF_D</f>
        <v>18.5719112213554</v>
      </c>
      <c r="W3" s="11" t="n">
        <f aca="false">MIN(1,Смена!X3/C3)</f>
        <v>0.937430740089793</v>
      </c>
      <c r="X3" s="11" t="n">
        <f aca="false">IF(MAX(ABS(D3),ABS(N3))=0,0,-1*(D3-N3)/MAX(ABS(D3),ABS(N3)))</f>
        <v>0.662657714416793</v>
      </c>
      <c r="Y3" s="11" t="n">
        <f aca="false">IF(MAX(ABS(E3),ABS(O3))=0,0,-1*(E3-O3)/MAX(ABS(E3),ABS(O3)))</f>
        <v>0.266647205253898</v>
      </c>
      <c r="Z3" s="11" t="n">
        <f aca="false">IF(MAX(ABS(F3),ABS(P3))=0,0,1*(F3-P3)/MAX(ABS(F3),ABS(P3)))</f>
        <v>-0.735409810369201</v>
      </c>
      <c r="AA3" s="11" t="n">
        <f aca="false">IF(MAX(ABS(G3),ABS(Q3))=0,0,-1*(G3-Q3)/MAX(ABS(G3),ABS(Q3)))</f>
        <v>0.15367440157344</v>
      </c>
      <c r="AB3" s="11" t="n">
        <f aca="false">IF(MAX(ABS(H3),ABS(R3))=0,0,1*(H3-R3)/MAX(ABS(H3),ABS(R3)))</f>
        <v>-0.122244258419715</v>
      </c>
      <c r="AC3" s="11" t="n">
        <f aca="false">IF(MAX(ABS(I3),ABS(S3))=0,0,-1*(I3-S3)/MAX(ABS(I3),ABS(S3)))</f>
        <v>0.101148728649107</v>
      </c>
      <c r="AD3" s="11" t="n">
        <f aca="false">IF(MAX(ABS(J3),ABS(T3))=0,0,-1*(J3-T3)/MAX(ABS(J3),ABS(T3)))</f>
        <v>-0.125820100333282</v>
      </c>
      <c r="AE3" s="11" t="n">
        <f aca="false">IF(MAX(ABS(K3),ABS(U3))=0,0,-1*(K3-U3)/MAX(ABS(K3),ABS(U3)))</f>
        <v>0.239322516606872</v>
      </c>
      <c r="AF3" s="11" t="n">
        <f aca="false">IF(MAX(ABS(L3),ABS(V3))=0,0,-1*(L3-V3)/MAX(ABS(L3),ABS(V3)))</f>
        <v>1</v>
      </c>
      <c r="AG3" s="11" t="n">
        <f aca="false">IF(MAX(ABS(M3),ABS(W3))=0,0,1*(M3-W3)/MAX(ABS(M3),ABS(W3)))</f>
        <v>-0.73465561459756</v>
      </c>
      <c r="AH3" s="24" t="n">
        <f aca="false">IF(B3,Веса!$E$39*X3+Веса!$E$40*Y3+Веса!$E$41*Z3+Веса!$E$42*AA3+Веса!$E$43*AB3+Веса!$E$44*AC3+Веса!$E$45*AD3+Веса!$E$46*AE3+Веса!$E$47*AF3+Веса!$E$48*AG3,"")</f>
        <v>-0.0210412573619323</v>
      </c>
    </row>
    <row r="4" customFormat="false" ht="15" hidden="false" customHeight="false" outlineLevel="0" collapsed="false">
      <c r="A4" s="17" t="str">
        <f aca="false">Смена!A4</f>
        <v>культиватор 0.08×5.4</v>
      </c>
      <c r="B4" s="19" t="b">
        <f aca="false">AND(Энергетика!Q4,Энергетика!R4)</f>
        <v>1</v>
      </c>
      <c r="C4" s="12" t="n">
        <f aca="false">IF(S_task&gt;0,S_task,Смена!V4)</f>
        <v>4.0192859947148</v>
      </c>
      <c r="D4" s="11" t="n">
        <f aca="false">3.6*Смена!Q4</f>
        <v>84.557098066794</v>
      </c>
      <c r="E4" s="11" t="n">
        <f aca="false">3.6*Смена!Q4*PEF_el</f>
        <v>211.392745166985</v>
      </c>
      <c r="F4" s="11" t="n">
        <f aca="false">MIN(1,Смена!P4/C4)</f>
        <v>0.265194471519839</v>
      </c>
      <c r="G4" s="11" t="n">
        <f aca="false">100*Энергетика!I4</f>
        <v>6.56765377905751</v>
      </c>
      <c r="H4" s="11" t="n">
        <f aca="false">100*Энергетика!O4</f>
        <v>28.0461826211228</v>
      </c>
      <c r="I4" s="11" t="n">
        <f aca="false">Экономика!N4</f>
        <v>6372.23871697688</v>
      </c>
      <c r="J4" s="11" t="n">
        <f aca="false">Экономика!P4</f>
        <v>9364.65864508013</v>
      </c>
      <c r="K4" s="11" t="n">
        <f aca="false">Смена!Q4*EF_grid</f>
        <v>14.233778174577</v>
      </c>
      <c r="L4" s="11" t="n">
        <f aca="false">0</f>
        <v>0</v>
      </c>
      <c r="M4" s="11" t="n">
        <f aca="false">MIN(1,Смена!H4/C4)</f>
        <v>0.207991051553127</v>
      </c>
      <c r="N4" s="11" t="n">
        <f aca="false">Смена!W4*LHV_D</f>
        <v>233.686067692926</v>
      </c>
      <c r="O4" s="11" t="n">
        <f aca="false">Смена!W4*LHV_D*PEF_D</f>
        <v>268.738977846865</v>
      </c>
      <c r="P4" s="11" t="n">
        <f aca="false">MIN(1,Смена!V4/C4)</f>
        <v>1</v>
      </c>
      <c r="Q4" s="11" t="n">
        <f aca="false">100*Энергетика!K4</f>
        <v>7.77531420291213</v>
      </c>
      <c r="R4" s="11" t="n">
        <f aca="false">100*Энергетика!P4</f>
        <v>35.0097715280041</v>
      </c>
      <c r="S4" s="11" t="n">
        <f aca="false">Экономика!O4</f>
        <v>7113.10186770286</v>
      </c>
      <c r="T4" s="11" t="n">
        <f aca="false">Экономика!Q4</f>
        <v>8249.32146446387</v>
      </c>
      <c r="U4" s="11" t="n">
        <f aca="false">Смена!W4*EF_D</f>
        <v>17.4450880617561</v>
      </c>
      <c r="V4" s="11" t="n">
        <f aca="false">Смена!W4*EF_D</f>
        <v>17.4450880617561</v>
      </c>
      <c r="W4" s="11" t="n">
        <f aca="false">MIN(1,Смена!X4/C4)</f>
        <v>0.852141767356705</v>
      </c>
      <c r="X4" s="11" t="n">
        <f aca="false">IF(MAX(ABS(D4),ABS(N4))=0,0,-1*(D4-N4)/MAX(ABS(D4),ABS(N4)))</f>
        <v>0.638159437994799</v>
      </c>
      <c r="Y4" s="11" t="n">
        <f aca="false">IF(MAX(ABS(E4),ABS(O4))=0,0,-1*(E4-O4)/MAX(ABS(E4),ABS(O4)))</f>
        <v>0.213390082597389</v>
      </c>
      <c r="Z4" s="11" t="n">
        <f aca="false">IF(MAX(ABS(F4),ABS(P4))=0,0,1*(F4-P4)/MAX(ABS(F4),ABS(P4)))</f>
        <v>-0.734805528480162</v>
      </c>
      <c r="AA4" s="11" t="n">
        <f aca="false">IF(MAX(ABS(G4),ABS(Q4))=0,0,-1*(G4-Q4)/MAX(ABS(G4),ABS(Q4)))</f>
        <v>0.155319822754213</v>
      </c>
      <c r="AB4" s="11" t="n">
        <f aca="false">IF(MAX(ABS(H4),ABS(R4))=0,0,1*(H4-R4)/MAX(ABS(H4),ABS(R4)))</f>
        <v>-0.198904151696941</v>
      </c>
      <c r="AC4" s="11" t="n">
        <f aca="false">IF(MAX(ABS(I4),ABS(S4))=0,0,-1*(I4-S4)/MAX(ABS(I4),ABS(S4)))</f>
        <v>0.104154722441116</v>
      </c>
      <c r="AD4" s="11" t="n">
        <f aca="false">IF(MAX(ABS(J4),ABS(T4))=0,0,-1*(J4-T4)/MAX(ABS(J4),ABS(T4)))</f>
        <v>-0.119100676584963</v>
      </c>
      <c r="AE4" s="11" t="n">
        <f aca="false">IF(MAX(ABS(K4),ABS(U4))=0,0,-1*(K4-U4)/MAX(ABS(K4),ABS(U4)))</f>
        <v>0.18408103620979</v>
      </c>
      <c r="AF4" s="11" t="n">
        <f aca="false">IF(MAX(ABS(L4),ABS(V4))=0,0,-1*(L4-V4)/MAX(ABS(L4),ABS(V4)))</f>
        <v>1</v>
      </c>
      <c r="AG4" s="11" t="n">
        <f aca="false">IF(MAX(ABS(M4),ABS(W4))=0,0,1*(M4-W4)/MAX(ABS(M4),ABS(W4)))</f>
        <v>-0.755919660881893</v>
      </c>
      <c r="AH4" s="24" t="n">
        <f aca="false">IF(B4,Веса!$E$39*X4+Веса!$E$40*Y4+Веса!$E$41*Z4+Веса!$E$42*AA4+Веса!$E$43*AB4+Веса!$E$44*AC4+Веса!$E$45*AD4+Веса!$E$46*AE4+Веса!$E$47*AF4+Веса!$E$48*AG4,"")</f>
        <v>-0.036728954152645</v>
      </c>
    </row>
    <row r="5" customFormat="false" ht="15" hidden="false" customHeight="false" outlineLevel="0" collapsed="false">
      <c r="A5" s="17" t="str">
        <f aca="false">Смена!A5</f>
        <v>культиватор 0.11×3.6</v>
      </c>
      <c r="B5" s="19" t="b">
        <f aca="false">AND(Энергетика!Q5,Энергетика!R5)</f>
        <v>1</v>
      </c>
      <c r="C5" s="12" t="n">
        <f aca="false">IF(S_task&gt;0,S_task,Смена!V5)</f>
        <v>2.81453112833609</v>
      </c>
      <c r="D5" s="11" t="n">
        <f aca="false">3.6*Смена!Q5</f>
        <v>104.569457422301</v>
      </c>
      <c r="E5" s="11" t="n">
        <f aca="false">3.6*Смена!Q5*PEF_el</f>
        <v>261.423643555751</v>
      </c>
      <c r="F5" s="11" t="n">
        <f aca="false">MIN(1,Смена!P5/C5)</f>
        <v>0.264707672093046</v>
      </c>
      <c r="G5" s="11" t="n">
        <f aca="false">100*Энергетика!I5</f>
        <v>9.15650239669171</v>
      </c>
      <c r="H5" s="11" t="n">
        <f aca="false">100*Энергетика!O5</f>
        <v>40.9974488895695</v>
      </c>
      <c r="I5" s="11" t="n">
        <f aca="false">Экономика!N5</f>
        <v>8908.85734186845</v>
      </c>
      <c r="J5" s="11" t="n">
        <f aca="false">Экономика!P5</f>
        <v>13190.0357771266</v>
      </c>
      <c r="K5" s="11" t="n">
        <f aca="false">Смена!Q5*EF_grid</f>
        <v>17.6025253327539</v>
      </c>
      <c r="L5" s="11" t="n">
        <f aca="false">0</f>
        <v>0</v>
      </c>
      <c r="M5" s="11" t="n">
        <f aca="false">MIN(1,Смена!H5/C5)</f>
        <v>0.243262254502212</v>
      </c>
      <c r="N5" s="11" t="n">
        <f aca="false">Смена!W5*LHV_D</f>
        <v>309.600752415835</v>
      </c>
      <c r="O5" s="11" t="n">
        <f aca="false">Смена!W5*LHV_D*PEF_D</f>
        <v>356.040865278211</v>
      </c>
      <c r="P5" s="11" t="n">
        <f aca="false">MIN(1,Смена!V5/C5)</f>
        <v>1</v>
      </c>
      <c r="Q5" s="11" t="n">
        <f aca="false">100*Энергетика!K5</f>
        <v>11.0505962827421</v>
      </c>
      <c r="R5" s="11" t="n">
        <f aca="false">100*Энергетика!P5</f>
        <v>45.9263300439399</v>
      </c>
      <c r="S5" s="11" t="n">
        <f aca="false">Экономика!O5</f>
        <v>9938.68175683906</v>
      </c>
      <c r="T5" s="11" t="n">
        <f aca="false">Экономика!Q5</f>
        <v>11564.2419897754</v>
      </c>
      <c r="U5" s="11" t="n">
        <f aca="false">Смена!W5*EF_D</f>
        <v>23.1122567263075</v>
      </c>
      <c r="V5" s="11" t="n">
        <f aca="false">Смена!W5*EF_D</f>
        <v>23.1122567263075</v>
      </c>
      <c r="W5" s="11" t="n">
        <f aca="false">MIN(1,Смена!X5/C5)</f>
        <v>0.91947235853551</v>
      </c>
      <c r="X5" s="11" t="n">
        <f aca="false">IF(MAX(ABS(D5),ABS(N5))=0,0,-1*(D5-N5)/MAX(ABS(D5),ABS(N5)))</f>
        <v>0.66224417542161</v>
      </c>
      <c r="Y5" s="11" t="n">
        <f aca="false">IF(MAX(ABS(E5),ABS(O5))=0,0,-1*(E5-O5)/MAX(ABS(E5),ABS(O5)))</f>
        <v>0.265748207438282</v>
      </c>
      <c r="Z5" s="11" t="n">
        <f aca="false">IF(MAX(ABS(F5),ABS(P5))=0,0,1*(F5-P5)/MAX(ABS(F5),ABS(P5)))</f>
        <v>-0.735292327906954</v>
      </c>
      <c r="AA5" s="11" t="n">
        <f aca="false">IF(MAX(ABS(G5),ABS(Q5))=0,0,-1*(G5-Q5)/MAX(ABS(G5),ABS(Q5)))</f>
        <v>0.17140196217361</v>
      </c>
      <c r="AB5" s="11" t="n">
        <f aca="false">IF(MAX(ABS(H5),ABS(R5))=0,0,1*(H5-R5)/MAX(ABS(H5),ABS(R5)))</f>
        <v>-0.107321467873759</v>
      </c>
      <c r="AC5" s="11" t="n">
        <f aca="false">IF(MAX(ABS(I5),ABS(S5))=0,0,-1*(I5-S5)/MAX(ABS(I5),ABS(S5)))</f>
        <v>0.103617807689835</v>
      </c>
      <c r="AD5" s="11" t="n">
        <f aca="false">IF(MAX(ABS(J5),ABS(T5))=0,0,-1*(J5-T5)/MAX(ABS(J5),ABS(T5)))</f>
        <v>-0.12325924014327</v>
      </c>
      <c r="AE5" s="11" t="n">
        <f aca="false">IF(MAX(ABS(K5),ABS(U5))=0,0,-1*(K5-U5)/MAX(ABS(K5),ABS(U5)))</f>
        <v>0.238390022177372</v>
      </c>
      <c r="AF5" s="11" t="n">
        <f aca="false">IF(MAX(ABS(L5),ABS(V5))=0,0,-1*(L5-V5)/MAX(ABS(L5),ABS(V5)))</f>
        <v>1</v>
      </c>
      <c r="AG5" s="11" t="n">
        <f aca="false">IF(MAX(ABS(M5),ABS(W5))=0,0,1*(M5-W5)/MAX(ABS(M5),ABS(W5)))</f>
        <v>-0.735432770497128</v>
      </c>
      <c r="AH5" s="24" t="n">
        <f aca="false">IF(B5,Веса!$E$39*X5+Веса!$E$40*Y5+Веса!$E$41*Z5+Веса!$E$42*AA5+Веса!$E$43*AB5+Веса!$E$44*AC5+Веса!$E$45*AD5+Веса!$E$46*AE5+Веса!$E$47*AF5+Веса!$E$48*AG5,"")</f>
        <v>-0.0177951833990991</v>
      </c>
    </row>
    <row r="6" customFormat="false" ht="15" hidden="false" customHeight="false" outlineLevel="0" collapsed="false">
      <c r="A6" s="17" t="str">
        <f aca="false">Смена!A6</f>
        <v>культиватор 0.11×4.5</v>
      </c>
      <c r="B6" s="19" t="b">
        <f aca="false">AND(Энергетика!Q6,Энергетика!R6)</f>
        <v>1</v>
      </c>
      <c r="C6" s="12" t="n">
        <f aca="false">IF(S_task&gt;0,S_task,Смена!V6)</f>
        <v>3.42482581616789</v>
      </c>
      <c r="D6" s="11" t="n">
        <f aca="false">3.6*Смена!Q6</f>
        <v>104.996714194875</v>
      </c>
      <c r="E6" s="11" t="n">
        <f aca="false">3.6*Смена!Q6*PEF_el</f>
        <v>262.491785487189</v>
      </c>
      <c r="F6" s="11" t="n">
        <f aca="false">MIN(1,Смена!P6/C6)</f>
        <v>0.265489489728764</v>
      </c>
      <c r="G6" s="11" t="n">
        <f aca="false">100*Энергетика!I6</f>
        <v>9.54929677505618</v>
      </c>
      <c r="H6" s="11" t="n">
        <f aca="false">100*Энергетика!O6</f>
        <v>24.6024999833757</v>
      </c>
      <c r="I6" s="11" t="n">
        <f aca="false">Экономика!N6</f>
        <v>7544.35747639801</v>
      </c>
      <c r="J6" s="11" t="n">
        <f aca="false">Экономика!P6</f>
        <v>11052.2808073632</v>
      </c>
      <c r="K6" s="11" t="n">
        <f aca="false">Смена!Q6*EF_grid</f>
        <v>17.6744468894707</v>
      </c>
      <c r="L6" s="11" t="n">
        <f aca="false">0</f>
        <v>0</v>
      </c>
      <c r="M6" s="11" t="n">
        <f aca="false">MIN(1,Смена!H6/C6)</f>
        <v>0.195690775609259</v>
      </c>
      <c r="N6" s="11" t="n">
        <f aca="false">Смена!W6*LHV_D</f>
        <v>286.186238751288</v>
      </c>
      <c r="O6" s="11" t="n">
        <f aca="false">Смена!W6*LHV_D*PEF_D</f>
        <v>329.114174563981</v>
      </c>
      <c r="P6" s="11" t="n">
        <f aca="false">MIN(1,Смена!V6/C6)</f>
        <v>1</v>
      </c>
      <c r="Q6" s="11" t="n">
        <f aca="false">100*Энергетика!K6</f>
        <v>11.5615906427994</v>
      </c>
      <c r="R6" s="11" t="n">
        <f aca="false">100*Энергетика!P6</f>
        <v>30.7400837293674</v>
      </c>
      <c r="S6" s="11" t="n">
        <f aca="false">Экономика!O6</f>
        <v>8456.23755222311</v>
      </c>
      <c r="T6" s="11" t="n">
        <f aca="false">Экономика!Q6</f>
        <v>9788.19340345426</v>
      </c>
      <c r="U6" s="11" t="n">
        <f aca="false">Смена!W6*EF_D</f>
        <v>21.3643208872828</v>
      </c>
      <c r="V6" s="11" t="n">
        <f aca="false">Смена!W6*EF_D</f>
        <v>21.3643208872828</v>
      </c>
      <c r="W6" s="11" t="n">
        <f aca="false">MIN(1,Смена!X6/C6)</f>
        <v>0.816138449084606</v>
      </c>
      <c r="X6" s="11" t="n">
        <f aca="false">IF(MAX(ABS(D6),ABS(N6))=0,0,-1*(D6-N6)/MAX(ABS(D6),ABS(N6)))</f>
        <v>0.633117529853965</v>
      </c>
      <c r="Y6" s="11" t="n">
        <f aca="false">IF(MAX(ABS(E6),ABS(O6))=0,0,-1*(E6-O6)/MAX(ABS(E6),ABS(O6)))</f>
        <v>0.202429412726011</v>
      </c>
      <c r="Z6" s="11" t="n">
        <f aca="false">IF(MAX(ABS(F6),ABS(P6))=0,0,1*(F6-P6)/MAX(ABS(F6),ABS(P6)))</f>
        <v>-0.734510510271236</v>
      </c>
      <c r="AA6" s="11" t="n">
        <f aca="false">IF(MAX(ABS(G6),ABS(Q6))=0,0,-1*(G6-Q6)/MAX(ABS(G6),ABS(Q6)))</f>
        <v>0.174049914922085</v>
      </c>
      <c r="AB6" s="11" t="n">
        <f aca="false">IF(MAX(ABS(H6),ABS(R6))=0,0,1*(H6-R6)/MAX(ABS(H6),ABS(R6)))</f>
        <v>-0.199660606003105</v>
      </c>
      <c r="AC6" s="11" t="n">
        <f aca="false">IF(MAX(ABS(I6),ABS(S6))=0,0,-1*(I6-S6)/MAX(ABS(I6),ABS(S6)))</f>
        <v>0.107835200961847</v>
      </c>
      <c r="AD6" s="11" t="n">
        <f aca="false">IF(MAX(ABS(J6),ABS(T6))=0,0,-1*(J6-T6)/MAX(ABS(J6),ABS(T6)))</f>
        <v>-0.114373442544711</v>
      </c>
      <c r="AE6" s="11" t="n">
        <f aca="false">IF(MAX(ABS(K6),ABS(U6))=0,0,-1*(K6-U6)/MAX(ABS(K6),ABS(U6)))</f>
        <v>0.172711972324312</v>
      </c>
      <c r="AF6" s="11" t="n">
        <f aca="false">IF(MAX(ABS(L6),ABS(V6))=0,0,-1*(L6-V6)/MAX(ABS(L6),ABS(V6)))</f>
        <v>1</v>
      </c>
      <c r="AG6" s="11" t="n">
        <f aca="false">IF(MAX(ABS(M6),ABS(W6))=0,0,1*(M6-W6)/MAX(ABS(M6),ABS(W6)))</f>
        <v>-0.760223555416672</v>
      </c>
      <c r="AH6" s="24" t="n">
        <f aca="false">IF(B6,Веса!$E$39*X6+Веса!$E$40*Y6+Веса!$E$41*Z6+Веса!$E$42*AA6+Веса!$E$43*AB6+Веса!$E$44*AC6+Веса!$E$45*AD6+Веса!$E$46*AE6+Веса!$E$47*AF6+Веса!$E$48*AG6,"")</f>
        <v>-0.0361885484169353</v>
      </c>
    </row>
    <row r="7" customFormat="false" ht="15" hidden="false" customHeight="false" outlineLevel="0" collapsed="false">
      <c r="A7" s="17" t="str">
        <f aca="false">Смена!A7</f>
        <v>культиватор 0.11×5.4</v>
      </c>
      <c r="B7" s="19" t="b">
        <f aca="false">AND(Энергетика!Q7,Энергетика!R7)</f>
        <v>1</v>
      </c>
      <c r="C7" s="12" t="n">
        <f aca="false">IF(S_task&gt;0,S_task,Смена!V7)</f>
        <v>4.0024290757825</v>
      </c>
      <c r="D7" s="11" t="n">
        <f aca="false">3.6*Смена!Q7</f>
        <v>106.661489427314</v>
      </c>
      <c r="E7" s="11" t="n">
        <f aca="false">3.6*Смена!Q7*PEF_el</f>
        <v>266.653723568285</v>
      </c>
      <c r="F7" s="11" t="n">
        <f aca="false">MIN(1,Смена!P7/C7)</f>
        <v>0.266311383680694</v>
      </c>
      <c r="G7" s="11" t="n">
        <f aca="false">100*Энергетика!I7</f>
        <v>10.0439576070286</v>
      </c>
      <c r="H7" s="11" t="n">
        <f aca="false">100*Энергетика!O7</f>
        <v>6.88659616338457</v>
      </c>
      <c r="I7" s="11" t="n">
        <f aca="false">Экономика!N7</f>
        <v>6652.16627312302</v>
      </c>
      <c r="J7" s="11" t="n">
        <f aca="false">Экономика!P7</f>
        <v>9732.97462676842</v>
      </c>
      <c r="K7" s="11" t="n">
        <f aca="false">Смена!Q7*EF_grid</f>
        <v>17.9546840535978</v>
      </c>
      <c r="L7" s="11" t="n">
        <f aca="false">0</f>
        <v>0</v>
      </c>
      <c r="M7" s="11" t="n">
        <f aca="false">MIN(1,Смена!H7/C7)</f>
        <v>0.162853773406157</v>
      </c>
      <c r="N7" s="11" t="n">
        <f aca="false">Смена!W7*LHV_D</f>
        <v>273.103946706245</v>
      </c>
      <c r="O7" s="11" t="n">
        <f aca="false">Смена!W7*LHV_D*PEF_D</f>
        <v>314.069538712182</v>
      </c>
      <c r="P7" s="11" t="n">
        <f aca="false">MIN(1,Смена!V7/C7)</f>
        <v>1</v>
      </c>
      <c r="Q7" s="11" t="n">
        <f aca="false">100*Энергетика!K7</f>
        <v>12.2110492503623</v>
      </c>
      <c r="R7" s="11" t="n">
        <f aca="false">100*Энергетика!P7</f>
        <v>14.2209331468773</v>
      </c>
      <c r="S7" s="11" t="n">
        <f aca="false">Экономика!O7</f>
        <v>7492.25314020846</v>
      </c>
      <c r="T7" s="11" t="n">
        <f aca="false">Экономика!Q7</f>
        <v>8628.47273696947</v>
      </c>
      <c r="U7" s="11" t="n">
        <f aca="false">Смена!W7*EF_D</f>
        <v>20.3877040995191</v>
      </c>
      <c r="V7" s="11" t="n">
        <f aca="false">Смена!W7*EF_D</f>
        <v>20.3877040995191</v>
      </c>
      <c r="W7" s="11" t="n">
        <f aca="false">MIN(1,Смена!X7/C7)</f>
        <v>0.730843496321383</v>
      </c>
      <c r="X7" s="11" t="n">
        <f aca="false">IF(MAX(ABS(D7),ABS(N7))=0,0,-1*(D7-N7)/MAX(ABS(D7),ABS(N7)))</f>
        <v>0.609447279273336</v>
      </c>
      <c r="Y7" s="11" t="n">
        <f aca="false">IF(MAX(ABS(E7),ABS(O7))=0,0,-1*(E7-O7)/MAX(ABS(E7),ABS(O7)))</f>
        <v>0.150972346246382</v>
      </c>
      <c r="Z7" s="11" t="n">
        <f aca="false">IF(MAX(ABS(F7),ABS(P7))=0,0,1*(F7-P7)/MAX(ABS(F7),ABS(P7)))</f>
        <v>-0.733688616319306</v>
      </c>
      <c r="AA7" s="11" t="n">
        <f aca="false">IF(MAX(ABS(G7),ABS(Q7))=0,0,-1*(G7-Q7)/MAX(ABS(G7),ABS(Q7)))</f>
        <v>0.177469732444934</v>
      </c>
      <c r="AB7" s="11" t="n">
        <f aca="false">IF(MAX(ABS(H7),ABS(R7))=0,0,1*(H7-R7)/MAX(ABS(H7),ABS(R7)))</f>
        <v>-0.515742315060614</v>
      </c>
      <c r="AC7" s="11" t="n">
        <f aca="false">IF(MAX(ABS(I7),ABS(S7))=0,0,-1*(I7-S7)/MAX(ABS(I7),ABS(S7)))</f>
        <v>0.112127400311259</v>
      </c>
      <c r="AD7" s="11" t="n">
        <f aca="false">IF(MAX(ABS(J7),ABS(T7))=0,0,-1*(J7-T7)/MAX(ABS(J7),ABS(T7)))</f>
        <v>-0.113480403695007</v>
      </c>
      <c r="AE7" s="11" t="n">
        <f aca="false">IF(MAX(ABS(K7),ABS(U7))=0,0,-1*(K7-U7)/MAX(ABS(K7),ABS(U7)))</f>
        <v>0.119337618107704</v>
      </c>
      <c r="AF7" s="11" t="n">
        <f aca="false">IF(MAX(ABS(L7),ABS(V7))=0,0,-1*(L7-V7)/MAX(ABS(L7),ABS(V7)))</f>
        <v>1</v>
      </c>
      <c r="AG7" s="11" t="n">
        <f aca="false">IF(MAX(ABS(M7),ABS(W7))=0,0,1*(M7-W7)/MAX(ABS(M7),ABS(W7)))</f>
        <v>-0.777170113402031</v>
      </c>
      <c r="AH7" s="24" t="n">
        <f aca="false">IF(B7,Веса!$E$39*X7+Веса!$E$40*Y7+Веса!$E$41*Z7+Веса!$E$42*AA7+Веса!$E$43*AB7+Веса!$E$44*AC7+Веса!$E$45*AD7+Веса!$E$46*AE7+Веса!$E$47*AF7+Веса!$E$48*AG7,"")</f>
        <v>-0.0659112675695613</v>
      </c>
    </row>
    <row r="8" customFormat="false" ht="15" hidden="false" customHeight="false" outlineLevel="0" collapsed="false">
      <c r="A8" s="17" t="str">
        <f aca="false">Смена!A8</f>
        <v>культиватор 0.14×3.6</v>
      </c>
      <c r="B8" s="19" t="b">
        <f aca="false">AND(Энергетика!Q8,Энергетика!R8)</f>
        <v>0</v>
      </c>
      <c r="C8" s="12" t="n">
        <f aca="false">IF(S_task&gt;0,S_task,Смена!V8)</f>
        <v>2.80568348865141</v>
      </c>
      <c r="D8" s="11" t="n">
        <f aca="false">3.6*Смена!Q8</f>
        <v>127.326878905358</v>
      </c>
      <c r="E8" s="11" t="n">
        <f aca="false">3.6*Смена!Q8*PEF_el</f>
        <v>318.317197263396</v>
      </c>
      <c r="F8" s="11" t="n">
        <f aca="false">MIN(1,Смена!P8/C8)</f>
        <v>0.265542419887628</v>
      </c>
      <c r="G8" s="11" t="n">
        <f aca="false">100*Энергетика!I8</f>
        <v>13.0903268045503</v>
      </c>
      <c r="H8" s="11" t="n">
        <f aca="false">100*Энергетика!O8</f>
        <v>26.4743127527381</v>
      </c>
      <c r="I8" s="11" t="n">
        <f aca="false">Экономика!N8</f>
        <v>9197.0547989275</v>
      </c>
      <c r="J8" s="11" t="n">
        <f aca="false">Экономика!P8</f>
        <v>13478.2332341857</v>
      </c>
      <c r="K8" s="11" t="n">
        <f aca="false">Смена!Q8*EF_grid</f>
        <v>21.4333579490686</v>
      </c>
      <c r="L8" s="11" t="n">
        <f aca="false">0</f>
        <v>0</v>
      </c>
      <c r="M8" s="11" t="n">
        <f aca="false">MIN(1,Смена!H8/C8)</f>
        <v>0.197077405980129</v>
      </c>
      <c r="N8" s="11" t="n">
        <f aca="false">Смена!W8*LHV_D</f>
        <v>351.947824453962</v>
      </c>
      <c r="O8" s="11" t="n">
        <f aca="false">Смена!W8*LHV_D*PEF_D</f>
        <v>404.739998122056</v>
      </c>
      <c r="P8" s="11" t="n">
        <f aca="false">MIN(1,Смена!V8/C8)</f>
        <v>1</v>
      </c>
      <c r="Q8" s="11" t="n">
        <f aca="false">100*Энергетика!K8</f>
        <v>16.3806562287673</v>
      </c>
      <c r="R8" s="11" t="n">
        <f aca="false">100*Энергетика!P8</f>
        <v>31.0371844965239</v>
      </c>
      <c r="S8" s="11" t="n">
        <f aca="false">Экономика!O8</f>
        <v>10346.0065007707</v>
      </c>
      <c r="T8" s="11" t="n">
        <f aca="false">Экономика!Q8</f>
        <v>11971.5667337071</v>
      </c>
      <c r="U8" s="11" t="n">
        <f aca="false">Смена!W8*EF_D</f>
        <v>26.2735423269253</v>
      </c>
      <c r="V8" s="11" t="n">
        <f aca="false">Смена!W8*EF_D</f>
        <v>26.2735423269253</v>
      </c>
      <c r="W8" s="11" t="n">
        <f aca="false">MIN(1,Смена!X8/C8)</f>
        <v>0.810014606560205</v>
      </c>
      <c r="X8" s="11" t="n">
        <f aca="false">IF(MAX(ABS(D8),ABS(N8))=0,0,-1*(D8-N8)/MAX(ABS(D8),ABS(N8)))</f>
        <v>0.638222287343578</v>
      </c>
      <c r="Y8" s="11" t="n">
        <f aca="false">IF(MAX(ABS(E8),ABS(O8))=0,0,-1*(E8-O8)/MAX(ABS(E8),ABS(O8)))</f>
        <v>0.213526711616475</v>
      </c>
      <c r="Z8" s="11" t="n">
        <f aca="false">IF(MAX(ABS(F8),ABS(P8))=0,0,1*(F8-P8)/MAX(ABS(F8),ABS(P8)))</f>
        <v>-0.734457580112372</v>
      </c>
      <c r="AA8" s="11" t="n">
        <f aca="false">IF(MAX(ABS(G8),ABS(Q8))=0,0,-1*(G8-Q8)/MAX(ABS(G8),ABS(Q8)))</f>
        <v>0.200866764936962</v>
      </c>
      <c r="AB8" s="11" t="n">
        <f aca="false">IF(MAX(ABS(H8),ABS(R8))=0,0,1*(H8-R8)/MAX(ABS(H8),ABS(R8)))</f>
        <v>-0.147013068930169</v>
      </c>
      <c r="AC8" s="11" t="n">
        <f aca="false">IF(MAX(ABS(I8),ABS(S8))=0,0,-1*(I8-S8)/MAX(ABS(I8),ABS(S8)))</f>
        <v>0.111052675421925</v>
      </c>
      <c r="AD8" s="11" t="n">
        <f aca="false">IF(MAX(ABS(J8),ABS(T8))=0,0,-1*(J8-T8)/MAX(ABS(J8),ABS(T8)))</f>
        <v>-0.11178516310707</v>
      </c>
      <c r="AE8" s="11" t="n">
        <f aca="false">IF(MAX(ABS(K8),ABS(U8))=0,0,-1*(K8-U8)/MAX(ABS(K8),ABS(U8)))</f>
        <v>0.184222756019329</v>
      </c>
      <c r="AF8" s="11" t="n">
        <f aca="false">IF(MAX(ABS(L8),ABS(V8))=0,0,-1*(L8-V8)/MAX(ABS(L8),ABS(V8)))</f>
        <v>1</v>
      </c>
      <c r="AG8" s="11" t="n">
        <f aca="false">IF(MAX(ABS(M8),ABS(W8))=0,0,1*(M8-W8)/MAX(ABS(M8),ABS(W8)))</f>
        <v>-0.75669894791523</v>
      </c>
      <c r="AH8" s="24" t="str">
        <f aca="false">IF(B8,Веса!$E$39*X8+Веса!$E$40*Y8+Веса!$E$41*Z8+Веса!$E$42*AA8+Веса!$E$43*AB8+Веса!$E$44*AC8+Веса!$E$45*AD8+Веса!$E$46*AE8+Веса!$E$47*AF8+Веса!$E$48*AG8,"")</f>
        <v/>
      </c>
    </row>
    <row r="9" customFormat="false" ht="15" hidden="false" customHeight="false" outlineLevel="0" collapsed="false">
      <c r="A9" s="17" t="str">
        <f aca="false">Смена!A9</f>
        <v>культиватор 0.14×4.5</v>
      </c>
      <c r="B9" s="19" t="b">
        <f aca="false">AND(Энергетика!Q9,Энергетика!R9)</f>
        <v>0</v>
      </c>
      <c r="C9" s="12" t="n">
        <f aca="false">IF(S_task&gt;0,S_task,Смена!V9)</f>
        <v>3.41084065161621</v>
      </c>
      <c r="D9" s="11" t="n">
        <f aca="false">3.6*Смена!Q9</f>
        <v>128.898362957233</v>
      </c>
      <c r="E9" s="11" t="n">
        <f aca="false">3.6*Смена!Q9*PEF_el</f>
        <v>322.245907393082</v>
      </c>
      <c r="F9" s="11" t="n">
        <f aca="false">MIN(1,Смена!P9/C9)</f>
        <v>0.266578052514257</v>
      </c>
      <c r="G9" s="11" t="n">
        <f aca="false">100*Энергетика!I9</f>
        <v>13.7479900866404</v>
      </c>
      <c r="H9" s="11" t="n">
        <f aca="false">100*Энергетика!O9</f>
        <v>5.53581336815034</v>
      </c>
      <c r="I9" s="11" t="n">
        <f aca="false">Экономика!N9</f>
        <v>7847.04530058576</v>
      </c>
      <c r="J9" s="11" t="n">
        <f aca="false">Экономика!P9</f>
        <v>11484.370398355</v>
      </c>
      <c r="K9" s="11" t="n">
        <f aca="false">Смена!Q9*EF_grid</f>
        <v>21.6978910978009</v>
      </c>
      <c r="L9" s="11" t="n">
        <f aca="false">0</f>
        <v>0</v>
      </c>
      <c r="M9" s="11" t="n">
        <f aca="false">MIN(1,Смена!H9/C9)</f>
        <v>0.157834135068028</v>
      </c>
      <c r="N9" s="11" t="n">
        <f aca="false">Смена!W9*LHV_D</f>
        <v>331.126753950035</v>
      </c>
      <c r="O9" s="11" t="n">
        <f aca="false">Смена!W9*LHV_D*PEF_D</f>
        <v>380.79576704254</v>
      </c>
      <c r="P9" s="11" t="n">
        <f aca="false">MIN(1,Смена!V9/C9)</f>
        <v>1</v>
      </c>
      <c r="Q9" s="11" t="n">
        <f aca="false">100*Энергетика!K9</f>
        <v>17.3260504498785</v>
      </c>
      <c r="R9" s="11" t="n">
        <f aca="false">100*Энергетика!P9</f>
        <v>10.9888845534299</v>
      </c>
      <c r="S9" s="11" t="n">
        <f aca="false">Экономика!O9</f>
        <v>8888.51058846786</v>
      </c>
      <c r="T9" s="11" t="n">
        <f aca="false">Экономика!Q9</f>
        <v>10220.466439699</v>
      </c>
      <c r="U9" s="11" t="n">
        <f aca="false">Смена!W9*EF_D</f>
        <v>24.7192117154901</v>
      </c>
      <c r="V9" s="11" t="n">
        <f aca="false">Смена!W9*EF_D</f>
        <v>24.7192117154901</v>
      </c>
      <c r="W9" s="11" t="n">
        <f aca="false">MIN(1,Смена!X9/C9)</f>
        <v>0.70706584449654</v>
      </c>
      <c r="X9" s="11" t="n">
        <f aca="false">IF(MAX(ABS(D9),ABS(N9))=0,0,-1*(D9-N9)/MAX(ABS(D9),ABS(N9)))</f>
        <v>0.610728032635252</v>
      </c>
      <c r="Y9" s="11" t="n">
        <f aca="false">IF(MAX(ABS(E9),ABS(O9))=0,0,-1*(E9-O9)/MAX(ABS(E9),ABS(O9)))</f>
        <v>0.153756592685331</v>
      </c>
      <c r="Z9" s="11" t="n">
        <f aca="false">IF(MAX(ABS(F9),ABS(P9))=0,0,1*(F9-P9)/MAX(ABS(F9),ABS(P9)))</f>
        <v>-0.733421947485743</v>
      </c>
      <c r="AA9" s="11" t="n">
        <f aca="false">IF(MAX(ABS(G9),ABS(Q9))=0,0,-1*(G9-Q9)/MAX(ABS(G9),ABS(Q9)))</f>
        <v>0.206513329370065</v>
      </c>
      <c r="AB9" s="11" t="n">
        <f aca="false">IF(MAX(ABS(H9),ABS(R9))=0,0,1*(H9-R9)/MAX(ABS(H9),ABS(R9)))</f>
        <v>-0.49623518736281</v>
      </c>
      <c r="AC9" s="11" t="n">
        <f aca="false">IF(MAX(ABS(I9),ABS(S9))=0,0,-1*(I9-S9)/MAX(ABS(I9),ABS(S9)))</f>
        <v>0.117169831493852</v>
      </c>
      <c r="AD9" s="11" t="n">
        <f aca="false">IF(MAX(ABS(J9),ABS(T9))=0,0,-1*(J9-T9)/MAX(ABS(J9),ABS(T9)))</f>
        <v>-0.11005426634768</v>
      </c>
      <c r="AE9" s="11" t="n">
        <f aca="false">IF(MAX(ABS(K9),ABS(U9))=0,0,-1*(K9-U9)/MAX(ABS(K9),ABS(U9)))</f>
        <v>0.122225605430448</v>
      </c>
      <c r="AF9" s="11" t="n">
        <f aca="false">IF(MAX(ABS(L9),ABS(V9))=0,0,-1*(L9-V9)/MAX(ABS(L9),ABS(V9)))</f>
        <v>1</v>
      </c>
      <c r="AG9" s="11" t="n">
        <f aca="false">IF(MAX(ABS(M9),ABS(W9))=0,0,1*(M9-W9)/MAX(ABS(M9),ABS(W9)))</f>
        <v>-0.776775902419084</v>
      </c>
      <c r="AH9" s="24" t="str">
        <f aca="false">IF(B9,Веса!$E$39*X9+Веса!$E$40*Y9+Веса!$E$41*Z9+Веса!$E$42*AA9+Веса!$E$43*AB9+Веса!$E$44*AC9+Веса!$E$45*AD9+Веса!$E$46*AE9+Веса!$E$47*AF9+Веса!$E$48*AG9,"")</f>
        <v/>
      </c>
    </row>
    <row r="10" customFormat="false" ht="15" hidden="false" customHeight="false" outlineLevel="0" collapsed="false">
      <c r="A10" s="17" t="str">
        <f aca="false">Смена!A10</f>
        <v>фреза 0.08×1.8</v>
      </c>
      <c r="B10" s="19" t="b">
        <f aca="false">AND(Энергетика!Q10,Энергетика!R10)</f>
        <v>1</v>
      </c>
      <c r="C10" s="12" t="n">
        <f aca="false">IF(S_task&gt;0,S_task,Смена!V10)</f>
        <v>1.54393672269514</v>
      </c>
      <c r="D10" s="11" t="n">
        <f aca="false">3.6*Смена!Q10</f>
        <v>146.523260568949</v>
      </c>
      <c r="E10" s="11" t="n">
        <f aca="false">3.6*Смена!Q10*PEF_el</f>
        <v>366.308151422373</v>
      </c>
      <c r="F10" s="11" t="n">
        <f aca="false">MIN(1,Смена!P10/C10)</f>
        <v>0.289101799054867</v>
      </c>
      <c r="G10" s="11" t="n">
        <f aca="false">100*Энергетика!I10</f>
        <v>0</v>
      </c>
      <c r="H10" s="11" t="n">
        <f aca="false">100*Энергетика!O10</f>
        <v>54.7866320062872</v>
      </c>
      <c r="I10" s="11" t="n">
        <f aca="false">Экономика!N10</f>
        <v>14836.8646506909</v>
      </c>
      <c r="J10" s="11" t="n">
        <f aca="false">Экономика!P10</f>
        <v>22658.4204491448</v>
      </c>
      <c r="K10" s="11" t="n">
        <f aca="false">Смена!Q10*EF_grid</f>
        <v>24.6647488624398</v>
      </c>
      <c r="L10" s="11" t="n">
        <f aca="false">0</f>
        <v>0</v>
      </c>
      <c r="M10" s="11" t="n">
        <f aca="false">MIN(1,Смена!H10/C10)</f>
        <v>0.304808352263851</v>
      </c>
      <c r="N10" s="11" t="n">
        <f aca="false">Смена!W10*LHV_D</f>
        <v>505.577090536398</v>
      </c>
      <c r="O10" s="11" t="n">
        <f aca="false">Смена!W10*LHV_D*PEF_D</f>
        <v>581.413654116857</v>
      </c>
      <c r="P10" s="11" t="n">
        <f aca="false">MIN(1,Смена!V10/C10)</f>
        <v>1</v>
      </c>
      <c r="Q10" s="11" t="n">
        <f aca="false">100*Энергетика!K10</f>
        <v>0</v>
      </c>
      <c r="R10" s="11" t="n">
        <f aca="false">100*Энергетика!P10</f>
        <v>58.7246627477723</v>
      </c>
      <c r="S10" s="11" t="n">
        <f aca="false">Экономика!O10</f>
        <v>17580.0364102313</v>
      </c>
      <c r="T10" s="11" t="n">
        <f aca="false">Экономика!Q10</f>
        <v>20549.8752660352</v>
      </c>
      <c r="U10" s="11" t="n">
        <f aca="false">Смена!W10*EF_D</f>
        <v>37.7422451988174</v>
      </c>
      <c r="V10" s="11" t="n">
        <f aca="false">Смена!W10*EF_D</f>
        <v>37.7422451988174</v>
      </c>
      <c r="W10" s="11" t="n">
        <f aca="false">MIN(1,Смена!X10/C10)</f>
        <v>1</v>
      </c>
      <c r="X10" s="11" t="n">
        <f aca="false">IF(MAX(ABS(D10),ABS(N10))=0,0,-1*(D10-N10)/MAX(ABS(D10),ABS(N10)))</f>
        <v>0.710186115408248</v>
      </c>
      <c r="Y10" s="11" t="n">
        <f aca="false">IF(MAX(ABS(E10),ABS(O10))=0,0,-1*(E10-O10)/MAX(ABS(E10),ABS(O10)))</f>
        <v>0.369969816104888</v>
      </c>
      <c r="Z10" s="11" t="n">
        <f aca="false">IF(MAX(ABS(F10),ABS(P10))=0,0,1*(F10-P10)/MAX(ABS(F10),ABS(P10)))</f>
        <v>-0.710898200945133</v>
      </c>
      <c r="AA10" s="11" t="n">
        <f aca="false">IF(MAX(ABS(G10),ABS(Q10))=0,0,-1*(G10-Q10)/MAX(ABS(G10),ABS(Q10)))</f>
        <v>0</v>
      </c>
      <c r="AB10" s="11" t="n">
        <f aca="false">IF(MAX(ABS(H10),ABS(R10))=0,0,1*(H10-R10)/MAX(ABS(H10),ABS(R10)))</f>
        <v>-0.0670592312875317</v>
      </c>
      <c r="AC10" s="11" t="n">
        <f aca="false">IF(MAX(ABS(I10),ABS(S10))=0,0,-1*(I10-S10)/MAX(ABS(I10),ABS(S10)))</f>
        <v>0.156039026059348</v>
      </c>
      <c r="AD10" s="11" t="n">
        <f aca="false">IF(MAX(ABS(J10),ABS(T10))=0,0,-1*(J10-T10)/MAX(ABS(J10),ABS(T10)))</f>
        <v>-0.0930579070082183</v>
      </c>
      <c r="AE10" s="11" t="n">
        <f aca="false">IF(MAX(ABS(K10),ABS(U10))=0,0,-1*(K10-U10)/MAX(ABS(K10),ABS(U10)))</f>
        <v>0.346494922797742</v>
      </c>
      <c r="AF10" s="11" t="n">
        <f aca="false">IF(MAX(ABS(L10),ABS(V10))=0,0,-1*(L10-V10)/MAX(ABS(L10),ABS(V10)))</f>
        <v>1</v>
      </c>
      <c r="AG10" s="11" t="n">
        <f aca="false">IF(MAX(ABS(M10),ABS(W10))=0,0,1*(M10-W10)/MAX(ABS(M10),ABS(W10)))</f>
        <v>-0.69519164773615</v>
      </c>
      <c r="AH10" s="24" t="n">
        <f aca="false">IF(B10,Веса!$E$39*X10+Веса!$E$40*Y10+Веса!$E$41*Z10+Веса!$E$42*AA10+Веса!$E$43*AB10+Веса!$E$44*AC10+Веса!$E$45*AD10+Веса!$E$46*AE10+Веса!$E$47*AF10+Веса!$E$48*AG10,"")</f>
        <v>0.00195927823069966</v>
      </c>
    </row>
    <row r="11" customFormat="false" ht="15" hidden="false" customHeight="false" outlineLevel="0" collapsed="false">
      <c r="A11" s="17" t="str">
        <f aca="false">Смена!A11</f>
        <v>фреза 0.08×2.7</v>
      </c>
      <c r="B11" s="19" t="b">
        <f aca="false">AND(Энергетика!Q11,Энергетика!R11)</f>
        <v>1</v>
      </c>
      <c r="C11" s="12" t="n">
        <f aca="false">IF(S_task&gt;0,S_task,Смена!V11)</f>
        <v>2.25269036346385</v>
      </c>
      <c r="D11" s="11" t="n">
        <f aca="false">3.6*Смена!Q11</f>
        <v>134.723059709245</v>
      </c>
      <c r="E11" s="11" t="n">
        <f aca="false">3.6*Смена!Q11*PEF_el</f>
        <v>336.807649273111</v>
      </c>
      <c r="F11" s="11" t="n">
        <f aca="false">MIN(1,Смена!P11/C11)</f>
        <v>0.264796902998746</v>
      </c>
      <c r="G11" s="11" t="n">
        <f aca="false">100*Энергетика!I11</f>
        <v>0</v>
      </c>
      <c r="H11" s="11" t="n">
        <f aca="false">100*Энергетика!O11</f>
        <v>39.9324306949852</v>
      </c>
      <c r="I11" s="11" t="n">
        <f aca="false">Экономика!N11</f>
        <v>11179.1921131786</v>
      </c>
      <c r="J11" s="11" t="n">
        <f aca="false">Экономика!P11</f>
        <v>16526.3315778951</v>
      </c>
      <c r="K11" s="11" t="n">
        <f aca="false">Смена!Q11*EF_grid</f>
        <v>22.6783817177228</v>
      </c>
      <c r="L11" s="11" t="n">
        <f aca="false">0</f>
        <v>0</v>
      </c>
      <c r="M11" s="11" t="n">
        <f aca="false">MIN(1,Смена!H11/C11)</f>
        <v>0.235226932766303</v>
      </c>
      <c r="N11" s="11" t="n">
        <f aca="false">Смена!W11*LHV_D</f>
        <v>392.357277956734</v>
      </c>
      <c r="O11" s="11" t="n">
        <f aca="false">Смена!W11*LHV_D*PEF_D</f>
        <v>451.210869650244</v>
      </c>
      <c r="P11" s="11" t="n">
        <f aca="false">MIN(1,Смена!V11/C11)</f>
        <v>1</v>
      </c>
      <c r="Q11" s="11" t="n">
        <f aca="false">100*Энергетика!K11</f>
        <v>0</v>
      </c>
      <c r="R11" s="11" t="n">
        <f aca="false">100*Энергетика!P11</f>
        <v>45.2694217930075</v>
      </c>
      <c r="S11" s="11" t="n">
        <f aca="false">Экономика!O11</f>
        <v>12467.8272662798</v>
      </c>
      <c r="T11" s="11" t="n">
        <f aca="false">Экономика!Q11</f>
        <v>14498.1321006271</v>
      </c>
      <c r="U11" s="11" t="n">
        <f aca="false">Смена!W11*EF_D</f>
        <v>29.2901811956559</v>
      </c>
      <c r="V11" s="11" t="n">
        <f aca="false">Смена!W11*EF_D</f>
        <v>29.2901811956559</v>
      </c>
      <c r="W11" s="11" t="n">
        <f aca="false">MIN(1,Смена!X11/C11)</f>
        <v>0.906306201678063</v>
      </c>
      <c r="X11" s="11" t="n">
        <f aca="false">IF(MAX(ABS(D11),ABS(N11))=0,0,-1*(D11-N11)/MAX(ABS(D11),ABS(N11)))</f>
        <v>0.656631679139897</v>
      </c>
      <c r="Y11" s="11" t="n">
        <f aca="false">IF(MAX(ABS(E11),ABS(O11))=0,0,-1*(E11-O11)/MAX(ABS(E11),ABS(O11)))</f>
        <v>0.253547128564993</v>
      </c>
      <c r="Z11" s="11" t="n">
        <f aca="false">IF(MAX(ABS(F11),ABS(P11))=0,0,1*(F11-P11)/MAX(ABS(F11),ABS(P11)))</f>
        <v>-0.735203097001254</v>
      </c>
      <c r="AA11" s="11" t="n">
        <f aca="false">IF(MAX(ABS(G11),ABS(Q11))=0,0,-1*(G11-Q11)/MAX(ABS(G11),ABS(Q11)))</f>
        <v>0</v>
      </c>
      <c r="AB11" s="11" t="n">
        <f aca="false">IF(MAX(ABS(H11),ABS(R11))=0,0,1*(H11-R11)/MAX(ABS(H11),ABS(R11)))</f>
        <v>-0.117893953283198</v>
      </c>
      <c r="AC11" s="11" t="n">
        <f aca="false">IF(MAX(ABS(I11),ABS(S11))=0,0,-1*(I11-S11)/MAX(ABS(I11),ABS(S11)))</f>
        <v>0.103356833999974</v>
      </c>
      <c r="AD11" s="11" t="n">
        <f aca="false">IF(MAX(ABS(J11),ABS(T11))=0,0,-1*(J11-T11)/MAX(ABS(J11),ABS(T11)))</f>
        <v>-0.122725328831044</v>
      </c>
      <c r="AE11" s="11" t="n">
        <f aca="false">IF(MAX(ABS(K11),ABS(U11))=0,0,-1*(K11-U11)/MAX(ABS(K11),ABS(U11)))</f>
        <v>0.225734331712284</v>
      </c>
      <c r="AF11" s="11" t="n">
        <f aca="false">IF(MAX(ABS(L11),ABS(V11))=0,0,-1*(L11-V11)/MAX(ABS(L11),ABS(V11)))</f>
        <v>1</v>
      </c>
      <c r="AG11" s="11" t="n">
        <f aca="false">IF(MAX(ABS(M11),ABS(W11))=0,0,1*(M11-W11)/MAX(ABS(M11),ABS(W11)))</f>
        <v>-0.740455342431983</v>
      </c>
      <c r="AH11" s="24" t="n">
        <f aca="false">IF(B11,Веса!$E$39*X11+Веса!$E$40*Y11+Веса!$E$41*Z11+Веса!$E$42*AA11+Веса!$E$43*AB11+Веса!$E$44*AC11+Веса!$E$45*AD11+Веса!$E$46*AE11+Веса!$E$47*AF11+Веса!$E$48*AG11,"")</f>
        <v>-0.0408065793542917</v>
      </c>
    </row>
    <row r="12" customFormat="false" ht="15" hidden="false" customHeight="false" outlineLevel="0" collapsed="false">
      <c r="A12" s="17" t="str">
        <f aca="false">Смена!A12</f>
        <v>фреза 0.08×3.6</v>
      </c>
      <c r="B12" s="19" t="b">
        <f aca="false">AND(Энергетика!Q12,Энергетика!R12)</f>
        <v>1</v>
      </c>
      <c r="C12" s="12" t="n">
        <f aca="false">IF(S_task&gt;0,S_task,Смена!V12)</f>
        <v>2.92468724503303</v>
      </c>
      <c r="D12" s="11" t="n">
        <f aca="false">3.6*Смена!Q12</f>
        <v>120.10217735911</v>
      </c>
      <c r="E12" s="11" t="n">
        <f aca="false">3.6*Смена!Q12*PEF_el</f>
        <v>300.255443397774</v>
      </c>
      <c r="F12" s="11" t="n">
        <f aca="false">MIN(1,Смена!P12/C12)</f>
        <v>0.265351728448533</v>
      </c>
      <c r="G12" s="11" t="n">
        <f aca="false">100*Энергетика!I12</f>
        <v>0</v>
      </c>
      <c r="H12" s="11" t="n">
        <f aca="false">100*Энергетика!O12</f>
        <v>27.8913367679578</v>
      </c>
      <c r="I12" s="11" t="n">
        <f aca="false">Экономика!N12</f>
        <v>8802.17792721439</v>
      </c>
      <c r="J12" s="11" t="n">
        <f aca="false">Экономика!P12</f>
        <v>12912.1092250622</v>
      </c>
      <c r="K12" s="11" t="n">
        <f aca="false">Смена!Q12*EF_grid</f>
        <v>20.2171998554501</v>
      </c>
      <c r="L12" s="11" t="n">
        <f aca="false">0</f>
        <v>0</v>
      </c>
      <c r="M12" s="11" t="n">
        <f aca="false">MIN(1,Смена!H12/C12)</f>
        <v>0.200703645285602</v>
      </c>
      <c r="N12" s="11" t="n">
        <f aca="false">Смена!W12*LHV_D</f>
        <v>328.60555000946</v>
      </c>
      <c r="O12" s="11" t="n">
        <f aca="false">Смена!W12*LHV_D*PEF_D</f>
        <v>377.896382510879</v>
      </c>
      <c r="P12" s="11" t="n">
        <f aca="false">MIN(1,Смена!V12/C12)</f>
        <v>1</v>
      </c>
      <c r="Q12" s="11" t="n">
        <f aca="false">100*Энергетика!K12</f>
        <v>0</v>
      </c>
      <c r="R12" s="11" t="n">
        <f aca="false">100*Энергетика!P12</f>
        <v>34.4302348067104</v>
      </c>
      <c r="S12" s="11" t="n">
        <f aca="false">Экономика!O12</f>
        <v>9843.05472069252</v>
      </c>
      <c r="T12" s="11" t="n">
        <f aca="false">Экономика!Q12</f>
        <v>11403.5925443114</v>
      </c>
      <c r="U12" s="11" t="n">
        <f aca="false">Смена!W12*EF_D</f>
        <v>24.5309992764722</v>
      </c>
      <c r="V12" s="11" t="n">
        <f aca="false">Смена!W12*EF_D</f>
        <v>24.5309992764722</v>
      </c>
      <c r="W12" s="11" t="n">
        <f aca="false">MIN(1,Смена!X12/C12)</f>
        <v>0.832544143001728</v>
      </c>
      <c r="X12" s="11" t="n">
        <f aca="false">IF(MAX(ABS(D12),ABS(N12))=0,0,-1*(D12-N12)/MAX(ABS(D12),ABS(N12)))</f>
        <v>0.634509589519556</v>
      </c>
      <c r="Y12" s="11" t="n">
        <f aca="false">IF(MAX(ABS(E12),ABS(O12))=0,0,-1*(E12-O12)/MAX(ABS(E12),ABS(O12)))</f>
        <v>0.205455629390339</v>
      </c>
      <c r="Z12" s="11" t="n">
        <f aca="false">IF(MAX(ABS(F12),ABS(P12))=0,0,1*(F12-P12)/MAX(ABS(F12),ABS(P12)))</f>
        <v>-0.734648271551467</v>
      </c>
      <c r="AA12" s="11" t="n">
        <f aca="false">IF(MAX(ABS(G12),ABS(Q12))=0,0,-1*(G12-Q12)/MAX(ABS(G12),ABS(Q12)))</f>
        <v>0</v>
      </c>
      <c r="AB12" s="11" t="n">
        <f aca="false">IF(MAX(ABS(H12),ABS(R12))=0,0,1*(H12-R12)/MAX(ABS(H12),ABS(R12)))</f>
        <v>-0.189917323406642</v>
      </c>
      <c r="AC12" s="11" t="n">
        <f aca="false">IF(MAX(ABS(I12),ABS(S12))=0,0,-1*(I12-S12)/MAX(ABS(I12),ABS(S12)))</f>
        <v>0.105747333832245</v>
      </c>
      <c r="AD12" s="11" t="n">
        <f aca="false">IF(MAX(ABS(J12),ABS(T12))=0,0,-1*(J12-T12)/MAX(ABS(J12),ABS(T12)))</f>
        <v>-0.116829609667705</v>
      </c>
      <c r="AE12" s="11" t="n">
        <f aca="false">IF(MAX(ABS(K12),ABS(U12))=0,0,-1*(K12-U12)/MAX(ABS(K12),ABS(U12)))</f>
        <v>0.175850945670993</v>
      </c>
      <c r="AF12" s="11" t="n">
        <f aca="false">IF(MAX(ABS(L12),ABS(V12))=0,0,-1*(L12-V12)/MAX(ABS(L12),ABS(V12)))</f>
        <v>1</v>
      </c>
      <c r="AG12" s="11" t="n">
        <f aca="false">IF(MAX(ABS(M12),ABS(W12))=0,0,1*(M12-W12)/MAX(ABS(M12),ABS(W12)))</f>
        <v>-0.758927322986181</v>
      </c>
      <c r="AH12" s="24" t="n">
        <f aca="false">IF(B12,Веса!$E$39*X12+Веса!$E$40*Y12+Веса!$E$41*Z12+Веса!$E$42*AA12+Веса!$E$43*AB12+Веса!$E$44*AC12+Веса!$E$45*AD12+Веса!$E$46*AE12+Веса!$E$47*AF12+Веса!$E$48*AG12,"")</f>
        <v>-0.0552696720316653</v>
      </c>
    </row>
    <row r="13" customFormat="false" ht="15" hidden="false" customHeight="false" outlineLevel="0" collapsed="false">
      <c r="A13" s="17" t="str">
        <f aca="false">Смена!A13</f>
        <v>фреза 0.12×1.8</v>
      </c>
      <c r="B13" s="19" t="b">
        <f aca="false">AND(Энергетика!Q13,Энергетика!R13)</f>
        <v>1</v>
      </c>
      <c r="C13" s="12" t="n">
        <f aca="false">IF(S_task&gt;0,S_task,Смена!V13)</f>
        <v>1.53940684311765</v>
      </c>
      <c r="D13" s="11" t="n">
        <f aca="false">3.6*Смена!Q13</f>
        <v>201.914482974039</v>
      </c>
      <c r="E13" s="11" t="n">
        <f aca="false">3.6*Смена!Q13*PEF_el</f>
        <v>504.786207435098</v>
      </c>
      <c r="F13" s="11" t="n">
        <f aca="false">MIN(1,Смена!P13/C13)</f>
        <v>0.26490451078898</v>
      </c>
      <c r="G13" s="11" t="n">
        <f aca="false">100*Энергетика!I13</f>
        <v>0</v>
      </c>
      <c r="H13" s="11" t="n">
        <f aca="false">100*Энергетика!O13</f>
        <v>39.3597810019467</v>
      </c>
      <c r="I13" s="11" t="n">
        <f aca="false">Экономика!N13</f>
        <v>16413.8107445393</v>
      </c>
      <c r="J13" s="11" t="n">
        <f aca="false">Экономика!P13</f>
        <v>24235.3665429933</v>
      </c>
      <c r="K13" s="11" t="n">
        <f aca="false">Смена!Q13*EF_grid</f>
        <v>33.9889379672966</v>
      </c>
      <c r="L13" s="11" t="n">
        <f aca="false">0</f>
        <v>0</v>
      </c>
      <c r="M13" s="11" t="n">
        <f aca="false">MIN(1,Смена!H13/C13)</f>
        <v>0.229169113383141</v>
      </c>
      <c r="N13" s="11" t="n">
        <f aca="false">Смена!W13*LHV_D</f>
        <v>583.916633795173</v>
      </c>
      <c r="O13" s="11" t="n">
        <f aca="false">Смена!W13*LHV_D*PEF_D</f>
        <v>671.504128864448</v>
      </c>
      <c r="P13" s="11" t="n">
        <f aca="false">MIN(1,Смена!V13/C13)</f>
        <v>1</v>
      </c>
      <c r="Q13" s="11" t="n">
        <f aca="false">100*Энергетика!K13</f>
        <v>0</v>
      </c>
      <c r="R13" s="11" t="n">
        <f aca="false">100*Энергетика!P13</f>
        <v>44.3784365722383</v>
      </c>
      <c r="S13" s="11" t="n">
        <f aca="false">Экономика!O13</f>
        <v>18333.507938953</v>
      </c>
      <c r="T13" s="11" t="n">
        <f aca="false">Экономика!Q13</f>
        <v>21303.346794757</v>
      </c>
      <c r="U13" s="11" t="n">
        <f aca="false">Смена!W13*EF_D</f>
        <v>43.5904339434836</v>
      </c>
      <c r="V13" s="11" t="n">
        <f aca="false">Смена!W13*EF_D</f>
        <v>43.5904339434836</v>
      </c>
      <c r="W13" s="11" t="n">
        <f aca="false">MIN(1,Смена!X13/C13)</f>
        <v>0.890944262467187</v>
      </c>
      <c r="X13" s="11" t="n">
        <f aca="false">IF(MAX(ABS(D13),ABS(N13))=0,0,-1*(D13-N13)/MAX(ABS(D13),ABS(N13)))</f>
        <v>0.654206660184188</v>
      </c>
      <c r="Y13" s="11" t="n">
        <f aca="false">IF(MAX(ABS(E13),ABS(O13))=0,0,-1*(E13-O13)/MAX(ABS(E13),ABS(O13)))</f>
        <v>0.248275348226496</v>
      </c>
      <c r="Z13" s="11" t="n">
        <f aca="false">IF(MAX(ABS(F13),ABS(P13))=0,0,1*(F13-P13)/MAX(ABS(F13),ABS(P13)))</f>
        <v>-0.73509548921102</v>
      </c>
      <c r="AA13" s="11" t="n">
        <f aca="false">IF(MAX(ABS(G13),ABS(Q13))=0,0,-1*(G13-Q13)/MAX(ABS(G13),ABS(Q13)))</f>
        <v>0</v>
      </c>
      <c r="AB13" s="11" t="n">
        <f aca="false">IF(MAX(ABS(H13),ABS(R13))=0,0,1*(H13-R13)/MAX(ABS(H13),ABS(R13)))</f>
        <v>-0.113087705605004</v>
      </c>
      <c r="AC13" s="11" t="n">
        <f aca="false">IF(MAX(ABS(I13),ABS(S13))=0,0,-1*(I13-S13)/MAX(ABS(I13),ABS(S13)))</f>
        <v>0.104709758809165</v>
      </c>
      <c r="AD13" s="11" t="n">
        <f aca="false">IF(MAX(ABS(J13),ABS(T13))=0,0,-1*(J13-T13)/MAX(ABS(J13),ABS(T13)))</f>
        <v>-0.120981035835994</v>
      </c>
      <c r="AE13" s="11" t="n">
        <f aca="false">IF(MAX(ABS(K13),ABS(U13))=0,0,-1*(K13-U13)/MAX(ABS(K13),ABS(U13)))</f>
        <v>0.220266125100652</v>
      </c>
      <c r="AF13" s="11" t="n">
        <f aca="false">IF(MAX(ABS(L13),ABS(V13))=0,0,-1*(L13-V13)/MAX(ABS(L13),ABS(V13)))</f>
        <v>1</v>
      </c>
      <c r="AG13" s="11" t="n">
        <f aca="false">IF(MAX(ABS(M13),ABS(W13))=0,0,1*(M13-W13)/MAX(ABS(M13),ABS(W13)))</f>
        <v>-0.742779517151242</v>
      </c>
      <c r="AH13" s="24" t="n">
        <f aca="false">IF(B13,Веса!$E$39*X13+Веса!$E$40*Y13+Веса!$E$41*Z13+Веса!$E$42*AA13+Веса!$E$43*AB13+Веса!$E$44*AC13+Веса!$E$45*AD13+Веса!$E$46*AE13+Веса!$E$47*AF13+Веса!$E$48*AG13,"")</f>
        <v>-0.0414085438954833</v>
      </c>
    </row>
    <row r="14" customFormat="false" ht="15" hidden="false" customHeight="false" outlineLevel="0" collapsed="false">
      <c r="A14" s="17" t="str">
        <f aca="false">Смена!A14</f>
        <v>фреза 0.12×2.7</v>
      </c>
      <c r="B14" s="19" t="b">
        <f aca="false">AND(Энергетика!Q14,Энергетика!R14)</f>
        <v>1</v>
      </c>
      <c r="C14" s="12" t="n">
        <f aca="false">IF(S_task&gt;0,S_task,Смена!V14)</f>
        <v>2.24315449771543</v>
      </c>
      <c r="D14" s="11" t="n">
        <f aca="false">3.6*Смена!Q14</f>
        <v>176.904470081723</v>
      </c>
      <c r="E14" s="11" t="n">
        <f aca="false">3.6*Смена!Q14*PEF_el</f>
        <v>442.261175204307</v>
      </c>
      <c r="F14" s="11" t="n">
        <f aca="false">MIN(1,Смена!P14/C14)</f>
        <v>0.265922580128949</v>
      </c>
      <c r="G14" s="11" t="n">
        <f aca="false">100*Энергетика!I14</f>
        <v>0</v>
      </c>
      <c r="H14" s="11" t="n">
        <f aca="false">100*Энергетика!O14</f>
        <v>18.9019847266803</v>
      </c>
      <c r="I14" s="11" t="n">
        <f aca="false">Экономика!N14</f>
        <v>11713.3728073123</v>
      </c>
      <c r="J14" s="11" t="n">
        <f aca="false">Экономика!P14</f>
        <v>17130.6592996102</v>
      </c>
      <c r="K14" s="11" t="n">
        <f aca="false">Смена!Q14*EF_grid</f>
        <v>29.7789191304233</v>
      </c>
      <c r="L14" s="11" t="n">
        <f aca="false">0</f>
        <v>0</v>
      </c>
      <c r="M14" s="11" t="n">
        <f aca="false">MIN(1,Смена!H14/C14)</f>
        <v>0.176057335742699</v>
      </c>
      <c r="N14" s="11" t="n">
        <f aca="false">Смена!W14*LHV_D</f>
        <v>463.55608304709</v>
      </c>
      <c r="O14" s="11" t="n">
        <f aca="false">Смена!W14*LHV_D*PEF_D</f>
        <v>533.089495504153</v>
      </c>
      <c r="P14" s="11" t="n">
        <f aca="false">MIN(1,Смена!V14/C14)</f>
        <v>1</v>
      </c>
      <c r="Q14" s="11" t="n">
        <f aca="false">100*Энергетика!K14</f>
        <v>0</v>
      </c>
      <c r="R14" s="11" t="n">
        <f aca="false">100*Энергетика!P14</f>
        <v>25.7121230060572</v>
      </c>
      <c r="S14" s="11" t="n">
        <f aca="false">Экономика!O14</f>
        <v>13152.6699253224</v>
      </c>
      <c r="T14" s="11" t="n">
        <f aca="false">Экономика!Q14</f>
        <v>15182.9747596696</v>
      </c>
      <c r="U14" s="11" t="n">
        <f aca="false">Смена!W14*EF_D</f>
        <v>34.6053009071365</v>
      </c>
      <c r="V14" s="11" t="n">
        <f aca="false">Смена!W14*EF_D</f>
        <v>34.6053009071365</v>
      </c>
      <c r="W14" s="11" t="n">
        <f aca="false">MIN(1,Смена!X14/C14)</f>
        <v>0.768723254713787</v>
      </c>
      <c r="X14" s="11" t="n">
        <f aca="false">IF(MAX(ABS(D14),ABS(N14))=0,0,-1*(D14-N14)/MAX(ABS(D14),ABS(N14)))</f>
        <v>0.618375259108072</v>
      </c>
      <c r="Y14" s="11" t="n">
        <f aca="false">IF(MAX(ABS(E14),ABS(O14))=0,0,-1*(E14-O14)/MAX(ABS(E14),ABS(O14)))</f>
        <v>0.170380998061026</v>
      </c>
      <c r="Z14" s="11" t="n">
        <f aca="false">IF(MAX(ABS(F14),ABS(P14))=0,0,1*(F14-P14)/MAX(ABS(F14),ABS(P14)))</f>
        <v>-0.734077419871051</v>
      </c>
      <c r="AA14" s="11" t="n">
        <f aca="false">IF(MAX(ABS(G14),ABS(Q14))=0,0,-1*(G14-Q14)/MAX(ABS(G14),ABS(Q14)))</f>
        <v>0</v>
      </c>
      <c r="AB14" s="11" t="n">
        <f aca="false">IF(MAX(ABS(H14),ABS(R14))=0,0,1*(H14-R14)/MAX(ABS(H14),ABS(R14)))</f>
        <v>-0.264860987082731</v>
      </c>
      <c r="AC14" s="11" t="n">
        <f aca="false">IF(MAX(ABS(I14),ABS(S14))=0,0,-1*(I14-S14)/MAX(ABS(I14),ABS(S14)))</f>
        <v>0.109430034067766</v>
      </c>
      <c r="AD14" s="11" t="n">
        <f aca="false">IF(MAX(ABS(J14),ABS(T14))=0,0,-1*(J14-T14)/MAX(ABS(J14),ABS(T14)))</f>
        <v>-0.113695830725263</v>
      </c>
      <c r="AE14" s="11" t="n">
        <f aca="false">IF(MAX(ABS(K14),ABS(U14))=0,0,-1*(K14-U14)/MAX(ABS(K14),ABS(U14)))</f>
        <v>0.139469435323357</v>
      </c>
      <c r="AF14" s="11" t="n">
        <f aca="false">IF(MAX(ABS(L14),ABS(V14))=0,0,-1*(L14-V14)/MAX(ABS(L14),ABS(V14)))</f>
        <v>1</v>
      </c>
      <c r="AG14" s="11" t="n">
        <f aca="false">IF(MAX(ABS(M14),ABS(W14))=0,0,1*(M14-W14)/MAX(ABS(M14),ABS(W14)))</f>
        <v>-0.770974359546012</v>
      </c>
      <c r="AH14" s="24" t="n">
        <f aca="false">IF(B14,Веса!$E$39*X14+Веса!$E$40*Y14+Веса!$E$41*Z14+Веса!$E$42*AA14+Веса!$E$43*AB14+Веса!$E$44*AC14+Веса!$E$45*AD14+Веса!$E$46*AE14+Веса!$E$47*AF14+Веса!$E$48*AG14,"")</f>
        <v>-0.0669547731598334</v>
      </c>
    </row>
    <row r="15" customFormat="false" ht="15" hidden="false" customHeight="false" outlineLevel="0" collapsed="false">
      <c r="A15" s="17" t="str">
        <f aca="false">Смена!A15</f>
        <v>фреза 0.12×3.6</v>
      </c>
      <c r="B15" s="19" t="b">
        <f aca="false">AND(Энергетика!Q15,Энергетика!R15)</f>
        <v>1</v>
      </c>
      <c r="C15" s="12" t="n">
        <f aca="false">IF(S_task&gt;0,S_task,Смена!V15)</f>
        <v>2.91016543326575</v>
      </c>
      <c r="D15" s="11" t="n">
        <f aca="false">3.6*Смена!Q15</f>
        <v>158.051835923634</v>
      </c>
      <c r="E15" s="11" t="n">
        <f aca="false">3.6*Смена!Q15*PEF_el</f>
        <v>395.129589809085</v>
      </c>
      <c r="F15" s="11" t="n">
        <f aca="false">MIN(1,Смена!P15/C15)</f>
        <v>0.266675841438333</v>
      </c>
      <c r="G15" s="11" t="n">
        <f aca="false">100*Энергетика!I15</f>
        <v>0</v>
      </c>
      <c r="H15" s="11" t="n">
        <f aca="false">100*Энергетика!O15</f>
        <v>2.66384952782565</v>
      </c>
      <c r="I15" s="11" t="n">
        <f aca="false">Экономика!N15</f>
        <v>9282.76818664679</v>
      </c>
      <c r="J15" s="11" t="n">
        <f aca="false">Экономика!P15</f>
        <v>13592.5123716846</v>
      </c>
      <c r="K15" s="11" t="n">
        <f aca="false">Смена!Q15*EF_grid</f>
        <v>26.6053923804784</v>
      </c>
      <c r="L15" s="11" t="n">
        <f aca="false">0</f>
        <v>0</v>
      </c>
      <c r="M15" s="11" t="n">
        <f aca="false">MIN(1,Смена!H15/C15)</f>
        <v>0.150457897905598</v>
      </c>
      <c r="N15" s="11" t="n">
        <f aca="false">Смена!W15*LHV_D</f>
        <v>392.661604667186</v>
      </c>
      <c r="O15" s="11" t="n">
        <f aca="false">Смена!W15*LHV_D*PEF_D</f>
        <v>451.560845367264</v>
      </c>
      <c r="P15" s="11" t="n">
        <f aca="false">MIN(1,Смена!V15/C15)</f>
        <v>1</v>
      </c>
      <c r="Q15" s="11" t="n">
        <f aca="false">100*Энергетика!K15</f>
        <v>0</v>
      </c>
      <c r="R15" s="11" t="n">
        <f aca="false">100*Энергетика!P15</f>
        <v>10.9698903925779</v>
      </c>
      <c r="S15" s="11" t="n">
        <f aca="false">Экономика!O15</f>
        <v>10459.1958859297</v>
      </c>
      <c r="T15" s="11" t="n">
        <f aca="false">Экономика!Q15</f>
        <v>12019.7337095486</v>
      </c>
      <c r="U15" s="11" t="n">
        <f aca="false">Смена!W15*EF_D</f>
        <v>29.3128997356005</v>
      </c>
      <c r="V15" s="11" t="n">
        <f aca="false">Смена!W15*EF_D</f>
        <v>29.3128997356005</v>
      </c>
      <c r="W15" s="11" t="n">
        <f aca="false">MIN(1,Смена!X15/C15)</f>
        <v>0.698752435656755</v>
      </c>
      <c r="X15" s="11" t="n">
        <f aca="false">IF(MAX(ABS(D15),ABS(N15))=0,0,-1*(D15-N15)/MAX(ABS(D15),ABS(N15)))</f>
        <v>0.597485891044538</v>
      </c>
      <c r="Y15" s="11" t="n">
        <f aca="false">IF(MAX(ABS(E15),ABS(O15))=0,0,-1*(E15-O15)/MAX(ABS(E15),ABS(O15)))</f>
        <v>0.124969328357692</v>
      </c>
      <c r="Z15" s="11" t="n">
        <f aca="false">IF(MAX(ABS(F15),ABS(P15))=0,0,1*(F15-P15)/MAX(ABS(F15),ABS(P15)))</f>
        <v>-0.733324158561667</v>
      </c>
      <c r="AA15" s="11" t="n">
        <f aca="false">IF(MAX(ABS(G15),ABS(Q15))=0,0,-1*(G15-Q15)/MAX(ABS(G15),ABS(Q15)))</f>
        <v>0</v>
      </c>
      <c r="AB15" s="11" t="n">
        <f aca="false">IF(MAX(ABS(H15),ABS(R15))=0,0,1*(H15-R15)/MAX(ABS(H15),ABS(R15)))</f>
        <v>-0.757167170090598</v>
      </c>
      <c r="AC15" s="11" t="n">
        <f aca="false">IF(MAX(ABS(I15),ABS(S15))=0,0,-1*(I15-S15)/MAX(ABS(I15),ABS(S15)))</f>
        <v>0.112477834062319</v>
      </c>
      <c r="AD15" s="11" t="n">
        <f aca="false">IF(MAX(ABS(J15),ABS(T15))=0,0,-1*(J15-T15)/MAX(ABS(J15),ABS(T15)))</f>
        <v>-0.115709194822024</v>
      </c>
      <c r="AE15" s="11" t="n">
        <f aca="false">IF(MAX(ABS(K15),ABS(U15))=0,0,-1*(K15-U15)/MAX(ABS(K15),ABS(U15)))</f>
        <v>0.0923657290661643</v>
      </c>
      <c r="AF15" s="11" t="n">
        <f aca="false">IF(MAX(ABS(L15),ABS(V15))=0,0,-1*(L15-V15)/MAX(ABS(L15),ABS(V15)))</f>
        <v>1</v>
      </c>
      <c r="AG15" s="11" t="n">
        <f aca="false">IF(MAX(ABS(M15),ABS(W15))=0,0,1*(M15-W15)/MAX(ABS(M15),ABS(W15)))</f>
        <v>-0.784676388620838</v>
      </c>
      <c r="AH15" s="24" t="n">
        <f aca="false">IF(B15,Веса!$E$39*X15+Веса!$E$40*Y15+Веса!$E$41*Z15+Веса!$E$42*AA15+Веса!$E$43*AB15+Веса!$E$44*AC15+Веса!$E$45*AD15+Веса!$E$46*AE15+Веса!$E$47*AF15+Веса!$E$48*AG15,"")</f>
        <v>-0.106706428741133</v>
      </c>
    </row>
    <row r="16" customFormat="false" ht="15" hidden="false" customHeight="false" outlineLevel="0" collapsed="false">
      <c r="A16" s="17" t="str">
        <f aca="false">Смена!A16</f>
        <v>фреза 0.16×1.8</v>
      </c>
      <c r="B16" s="19" t="b">
        <f aca="false">AND(Энергетика!Q16,Энергетика!R16)</f>
        <v>1</v>
      </c>
      <c r="C16" s="12" t="n">
        <f aca="false">IF(S_task&gt;0,S_task,Смена!V16)</f>
        <v>1.53461218496475</v>
      </c>
      <c r="D16" s="11" t="n">
        <f aca="false">3.6*Смена!Q16</f>
        <v>247.294211094346</v>
      </c>
      <c r="E16" s="11" t="n">
        <f aca="false">3.6*Смена!Q16*PEF_el</f>
        <v>618.235527735865</v>
      </c>
      <c r="F16" s="11" t="n">
        <f aca="false">MIN(1,Смена!P16/C16)</f>
        <v>0.265732163915183</v>
      </c>
      <c r="G16" s="11" t="n">
        <f aca="false">100*Энергетика!I16</f>
        <v>0</v>
      </c>
      <c r="H16" s="11" t="n">
        <f aca="false">100*Энергетика!O16</f>
        <v>24.2764237937492</v>
      </c>
      <c r="I16" s="11" t="n">
        <f aca="false">Экономика!N16</f>
        <v>16988.4945792629</v>
      </c>
      <c r="J16" s="11" t="n">
        <f aca="false">Экономика!P16</f>
        <v>24842.8272373958</v>
      </c>
      <c r="K16" s="11" t="n">
        <f aca="false">Смена!Q16*EF_grid</f>
        <v>41.6278588675482</v>
      </c>
      <c r="L16" s="11" t="n">
        <f aca="false">0</f>
        <v>0</v>
      </c>
      <c r="M16" s="11" t="n">
        <f aca="false">MIN(1,Смена!H16/C16)</f>
        <v>0.184678595876607</v>
      </c>
      <c r="N16" s="11" t="n">
        <f aca="false">Смена!W16*LHV_D</f>
        <v>660.513932451982</v>
      </c>
      <c r="O16" s="11" t="n">
        <f aca="false">Смена!W16*LHV_D*PEF_D</f>
        <v>759.591022319779</v>
      </c>
      <c r="P16" s="11" t="n">
        <f aca="false">MIN(1,Смена!V16/C16)</f>
        <v>1</v>
      </c>
      <c r="Q16" s="11" t="n">
        <f aca="false">100*Энергетика!K16</f>
        <v>0</v>
      </c>
      <c r="R16" s="11" t="n">
        <f aca="false">100*Энергетика!P16</f>
        <v>30.3516430332141</v>
      </c>
      <c r="S16" s="11" t="n">
        <f aca="false">Экономика!O16</f>
        <v>19070.2770869952</v>
      </c>
      <c r="T16" s="11" t="n">
        <f aca="false">Экономика!Q16</f>
        <v>22040.1159427991</v>
      </c>
      <c r="U16" s="11" t="n">
        <f aca="false">Смена!W16*EF_D</f>
        <v>49.3085609741313</v>
      </c>
      <c r="V16" s="11" t="n">
        <f aca="false">Смена!W16*EF_D</f>
        <v>49.3085609741313</v>
      </c>
      <c r="W16" s="11" t="n">
        <f aca="false">MIN(1,Смена!X16/C16)</f>
        <v>0.788835510722647</v>
      </c>
      <c r="X16" s="11" t="n">
        <f aca="false">IF(MAX(ABS(D16),ABS(N16))=0,0,-1*(D16-N16)/MAX(ABS(D16),ABS(N16)))</f>
        <v>0.625603338636126</v>
      </c>
      <c r="Y16" s="11" t="n">
        <f aca="false">IF(MAX(ABS(E16),ABS(O16))=0,0,-1*(E16-O16)/MAX(ABS(E16),ABS(O16)))</f>
        <v>0.18609421442636</v>
      </c>
      <c r="Z16" s="11" t="n">
        <f aca="false">IF(MAX(ABS(F16),ABS(P16))=0,0,1*(F16-P16)/MAX(ABS(F16),ABS(P16)))</f>
        <v>-0.734267836084817</v>
      </c>
      <c r="AA16" s="11" t="n">
        <f aca="false">IF(MAX(ABS(G16),ABS(Q16))=0,0,-1*(G16-Q16)/MAX(ABS(G16),ABS(Q16)))</f>
        <v>0</v>
      </c>
      <c r="AB16" s="11" t="n">
        <f aca="false">IF(MAX(ABS(H16),ABS(R16))=0,0,1*(H16-R16)/MAX(ABS(H16),ABS(R16)))</f>
        <v>-0.200161132391308</v>
      </c>
      <c r="AC16" s="11" t="n">
        <f aca="false">IF(MAX(ABS(I16),ABS(S16))=0,0,-1*(I16-S16)/MAX(ABS(I16),ABS(S16)))</f>
        <v>0.109163726265516</v>
      </c>
      <c r="AD16" s="11" t="n">
        <f aca="false">IF(MAX(ABS(J16),ABS(T16))=0,0,-1*(J16-T16)/MAX(ABS(J16),ABS(T16)))</f>
        <v>-0.112817726735135</v>
      </c>
      <c r="AE16" s="11" t="n">
        <f aca="false">IF(MAX(ABS(K16),ABS(U16))=0,0,-1*(K16-U16)/MAX(ABS(K16),ABS(U16)))</f>
        <v>0.155768125348711</v>
      </c>
      <c r="AF16" s="11" t="n">
        <f aca="false">IF(MAX(ABS(L16),ABS(V16))=0,0,-1*(L16-V16)/MAX(ABS(L16),ABS(V16)))</f>
        <v>1</v>
      </c>
      <c r="AG16" s="11" t="n">
        <f aca="false">IF(MAX(ABS(M16),ABS(W16))=0,0,1*(M16-W16)/MAX(ABS(M16),ABS(W16)))</f>
        <v>-0.76588453059444</v>
      </c>
      <c r="AH16" s="24" t="n">
        <f aca="false">IF(B16,Веса!$E$39*X16+Веса!$E$40*Y16+Веса!$E$41*Z16+Веса!$E$42*AA16+Веса!$E$43*AB16+Веса!$E$44*AC16+Веса!$E$45*AD16+Веса!$E$46*AE16+Веса!$E$47*AF16+Веса!$E$48*AG16,"")</f>
        <v>-0.0594334322477936</v>
      </c>
    </row>
    <row r="17" customFormat="false" ht="15" hidden="false" customHeight="false" outlineLevel="0" collapsed="false">
      <c r="A17" s="17" t="str">
        <f aca="false">Смена!A17</f>
        <v>фреза 0.16×2.7</v>
      </c>
      <c r="B17" s="19" t="b">
        <f aca="false">AND(Энергетика!Q17,Энергетика!R17)</f>
        <v>0</v>
      </c>
      <c r="C17" s="12" t="n">
        <f aca="false">IF(S_task&gt;0,S_task,Смена!V17)</f>
        <v>2.2338522583055</v>
      </c>
      <c r="D17" s="11" t="n">
        <f aca="false">3.6*Смена!Q17</f>
        <v>218.052446394076</v>
      </c>
      <c r="E17" s="11" t="n">
        <f aca="false">3.6*Смена!Q17*PEF_el</f>
        <v>545.13111598519</v>
      </c>
      <c r="F17" s="11" t="n">
        <f aca="false">MIN(1,Смена!P17/C17)</f>
        <v>0.267029938726936</v>
      </c>
      <c r="G17" s="11" t="n">
        <f aca="false">100*Энергетика!I17</f>
        <v>0</v>
      </c>
      <c r="H17" s="11" t="n">
        <f aca="false">100*Энергетика!O17</f>
        <v>-1.61322054741009</v>
      </c>
      <c r="I17" s="11" t="n">
        <f aca="false">Экономика!N17</f>
        <v>12234.4662073345</v>
      </c>
      <c r="J17" s="11" t="n">
        <f aca="false">Экономика!P17</f>
        <v>17929.5378544783</v>
      </c>
      <c r="K17" s="11" t="n">
        <f aca="false">Смена!Q17*EF_grid</f>
        <v>36.7054951430028</v>
      </c>
      <c r="L17" s="11" t="n">
        <f aca="false">0</f>
        <v>0</v>
      </c>
      <c r="M17" s="11" t="n">
        <f aca="false">MIN(1,Смена!H17/C17)</f>
        <v>0.141605643562715</v>
      </c>
      <c r="N17" s="11" t="n">
        <f aca="false">Смена!W17*LHV_D</f>
        <v>533.010727782082</v>
      </c>
      <c r="O17" s="11" t="n">
        <f aca="false">Смена!W17*LHV_D*PEF_D</f>
        <v>612.962336949394</v>
      </c>
      <c r="P17" s="11" t="n">
        <f aca="false">MIN(1,Смена!V17/C17)</f>
        <v>1</v>
      </c>
      <c r="Q17" s="11" t="n">
        <f aca="false">100*Энергетика!K17</f>
        <v>0</v>
      </c>
      <c r="R17" s="11" t="n">
        <f aca="false">100*Энергетика!P17</f>
        <v>6.63397317387173</v>
      </c>
      <c r="S17" s="11" t="n">
        <f aca="false">Экономика!O17</f>
        <v>13820.7410627068</v>
      </c>
      <c r="T17" s="11" t="n">
        <f aca="false">Экономика!Q17</f>
        <v>15851.0458970541</v>
      </c>
      <c r="U17" s="11" t="n">
        <f aca="false">Смена!W17*EF_D</f>
        <v>39.7902158901387</v>
      </c>
      <c r="V17" s="11" t="n">
        <f aca="false">Смена!W17*EF_D</f>
        <v>39.7902158901387</v>
      </c>
      <c r="W17" s="11" t="n">
        <f aca="false">MIN(1,Смена!X17/C17)</f>
        <v>0.670312071394148</v>
      </c>
      <c r="X17" s="11" t="n">
        <f aca="false">IF(MAX(ABS(D17),ABS(N17))=0,0,-1*(D17-N17)/MAX(ABS(D17),ABS(N17)))</f>
        <v>0.590904206935165</v>
      </c>
      <c r="Y17" s="11" t="n">
        <f aca="false">IF(MAX(ABS(E17),ABS(O17))=0,0,-1*(E17-O17)/MAX(ABS(E17),ABS(O17)))</f>
        <v>0.110661319424271</v>
      </c>
      <c r="Z17" s="11" t="n">
        <f aca="false">IF(MAX(ABS(F17),ABS(P17))=0,0,1*(F17-P17)/MAX(ABS(F17),ABS(P17)))</f>
        <v>-0.732970061273064</v>
      </c>
      <c r="AA17" s="11" t="n">
        <f aca="false">IF(MAX(ABS(G17),ABS(Q17))=0,0,-1*(G17-Q17)/MAX(ABS(G17),ABS(Q17)))</f>
        <v>0</v>
      </c>
      <c r="AB17" s="11" t="n">
        <f aca="false">IF(MAX(ABS(H17),ABS(R17))=0,0,1*(H17-R17)/MAX(ABS(H17),ABS(R17)))</f>
        <v>-1.24317562117433</v>
      </c>
      <c r="AC17" s="11" t="n">
        <f aca="false">IF(MAX(ABS(I17),ABS(S17))=0,0,-1*(I17-S17)/MAX(ABS(I17),ABS(S17)))</f>
        <v>0.114774949344258</v>
      </c>
      <c r="AD17" s="11" t="n">
        <f aca="false">IF(MAX(ABS(J17),ABS(T17))=0,0,-1*(J17-T17)/MAX(ABS(J17),ABS(T17)))</f>
        <v>-0.11592557344723</v>
      </c>
      <c r="AE17" s="11" t="n">
        <f aca="false">IF(MAX(ABS(K17),ABS(U17))=0,0,-1*(K17-U17)/MAX(ABS(K17),ABS(U17)))</f>
        <v>0.0775246044317256</v>
      </c>
      <c r="AF17" s="11" t="n">
        <f aca="false">IF(MAX(ABS(L17),ABS(V17))=0,0,-1*(L17-V17)/MAX(ABS(L17),ABS(V17)))</f>
        <v>1</v>
      </c>
      <c r="AG17" s="11" t="n">
        <f aca="false">IF(MAX(ABS(M17),ABS(W17))=0,0,1*(M17-W17)/MAX(ABS(M17),ABS(W17)))</f>
        <v>-0.788746690376324</v>
      </c>
      <c r="AH17" s="24" t="str">
        <f aca="false">IF(B17,Веса!$E$39*X17+Веса!$E$40*Y17+Веса!$E$41*Z17+Веса!$E$42*AA17+Веса!$E$43*AB17+Веса!$E$44*AC17+Веса!$E$45*AD17+Веса!$E$46*AE17+Веса!$E$47*AF17+Веса!$E$48*AG17,"")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2" min="2" style="0" width="10"/>
  </cols>
  <sheetData>
    <row r="1" customFormat="false" ht="45" hidden="false" customHeight="true" outlineLevel="0" collapsed="false">
      <c r="A1" s="4" t="s">
        <v>462</v>
      </c>
      <c r="B1" s="4" t="s">
        <v>412</v>
      </c>
      <c r="C1" s="4" t="s">
        <v>413</v>
      </c>
      <c r="D1" s="4" t="s">
        <v>416</v>
      </c>
      <c r="E1" s="4" t="s">
        <v>417</v>
      </c>
      <c r="F1" s="4" t="s">
        <v>418</v>
      </c>
      <c r="G1" s="4" t="s">
        <v>419</v>
      </c>
      <c r="H1" s="4" t="s">
        <v>420</v>
      </c>
      <c r="I1" s="4" t="s">
        <v>421</v>
      </c>
      <c r="J1" s="4" t="s">
        <v>422</v>
      </c>
      <c r="K1" s="4" t="s">
        <v>423</v>
      </c>
      <c r="L1" s="4" t="s">
        <v>463</v>
      </c>
      <c r="N1" s="9" t="s">
        <v>464</v>
      </c>
      <c r="O1" s="9" t="s">
        <v>465</v>
      </c>
      <c r="P1" s="9" t="s">
        <v>466</v>
      </c>
      <c r="Q1" s="9" t="s">
        <v>467</v>
      </c>
      <c r="R1" s="9" t="s">
        <v>468</v>
      </c>
      <c r="S1" s="9" t="s">
        <v>469</v>
      </c>
      <c r="T1" s="9" t="s">
        <v>470</v>
      </c>
      <c r="U1" s="9" t="s">
        <v>471</v>
      </c>
      <c r="V1" s="9" t="s">
        <v>472</v>
      </c>
      <c r="W1" s="9" t="s">
        <v>473</v>
      </c>
      <c r="Y1" s="9" t="s">
        <v>474</v>
      </c>
      <c r="Z1" s="9" t="s">
        <v>475</v>
      </c>
      <c r="AA1" s="9" t="s">
        <v>476</v>
      </c>
      <c r="AB1" s="9" t="s">
        <v>477</v>
      </c>
      <c r="AC1" s="9" t="s">
        <v>478</v>
      </c>
      <c r="AD1" s="9" t="s">
        <v>479</v>
      </c>
      <c r="AE1" s="9" t="s">
        <v>480</v>
      </c>
      <c r="AF1" s="9" t="s">
        <v>481</v>
      </c>
      <c r="AG1" s="9" t="s">
        <v>482</v>
      </c>
      <c r="AH1" s="9" t="s">
        <v>483</v>
      </c>
    </row>
    <row r="2" customFormat="false" ht="15" hidden="false" customHeight="false" outlineLevel="0" collapsed="false">
      <c r="A2" s="17" t="str">
        <f aca="false">Показатели!A2&amp;" ЭТ"</f>
        <v>культиватор 0.08×3.6 ЭТ</v>
      </c>
      <c r="B2" s="25" t="n">
        <f aca="false">Показатели!D2</f>
        <v>79.359430125058</v>
      </c>
      <c r="C2" s="25" t="n">
        <f aca="false">Показатели!E2</f>
        <v>198.398575312645</v>
      </c>
      <c r="D2" s="25" t="n">
        <f aca="false">Показатели!F2</f>
        <v>0.29216555243855</v>
      </c>
      <c r="E2" s="25" t="n">
        <f aca="false">Показатели!G2</f>
        <v>6.05067711975939</v>
      </c>
      <c r="F2" s="25" t="n">
        <f aca="false">Показатели!H2</f>
        <v>53.9220106787431</v>
      </c>
      <c r="G2" s="25" t="n">
        <f aca="false">Показатели!I2</f>
        <v>8106.17610707914</v>
      </c>
      <c r="H2" s="25" t="n">
        <f aca="false">Показатели!J2</f>
        <v>12387.3545423373</v>
      </c>
      <c r="I2" s="25" t="n">
        <f aca="false">Показатели!K2</f>
        <v>13.3588374043848</v>
      </c>
      <c r="J2" s="25" t="n">
        <f aca="false">Показатели!L2</f>
        <v>0</v>
      </c>
      <c r="K2" s="25" t="n">
        <f aca="false">Показатели!M2</f>
        <v>0.308038555685885</v>
      </c>
      <c r="L2" s="26" t="b">
        <f aca="false">Показатели!B2</f>
        <v>1</v>
      </c>
      <c r="N2" s="15" t="n">
        <f aca="false">IF($L2,IF(B$37&gt;B$36,(B2-B$36)/(B$37-B$36),0)+0.000001,0)</f>
        <v>1E-006</v>
      </c>
      <c r="O2" s="15" t="n">
        <f aca="false">IF($L2,IF(C$37&gt;C$36,(C2-C$36)/(C$37-C$36),0)+0.000001,0)</f>
        <v>1E-006</v>
      </c>
      <c r="P2" s="15" t="n">
        <f aca="false">IF($L2,IF(D$37&gt;D$36,(D2-D$36)/(D$37-D$36),0)+0.000001,0)</f>
        <v>0.037497593625678</v>
      </c>
      <c r="Q2" s="15" t="n">
        <f aca="false">IF($L2,IF(E$37&gt;E$36,(E2-E$36)/(E$37-E$36),0)+0.000001,0)</f>
        <v>0.495509370796217</v>
      </c>
      <c r="R2" s="15" t="n">
        <f aca="false">IF($L2,IF(F$37&gt;F$36,(F2-F$36)/(F$37-F$36),0)+0.000001,0)</f>
        <v>0.914332387770158</v>
      </c>
      <c r="S2" s="15" t="n">
        <f aca="false">IF($L2,IF(G$37&gt;G$36,(G2-G$36)/(G$37-G$36),0)+0.000001,0)</f>
        <v>0.136552594787767</v>
      </c>
      <c r="T2" s="15" t="n">
        <f aca="false">IF($L2,IF(H$37&gt;H$36,(H2-H$36)/(H$37-H$36),0)+0.000001,0)</f>
        <v>0.249377661839812</v>
      </c>
      <c r="U2" s="15" t="n">
        <f aca="false">IF($L2,IF(I$37&gt;I$36,(I2-I$36)/(I$37-I$36),0)+0.000001,0)</f>
        <v>1E-006</v>
      </c>
      <c r="V2" s="15" t="n">
        <f aca="false">IF($L2,IF(J$37&gt;J$36,(J2-J$36)/(J$37-J$36),0)+0.000001,0)</f>
        <v>1E-006</v>
      </c>
      <c r="W2" s="15" t="n">
        <f aca="false">IF($L2,IF(K$37&gt;K$36,(K2-K$36)/(K$37-K$36),0)+0.000001,0)</f>
        <v>0.185489932675376</v>
      </c>
      <c r="Y2" s="15" t="n">
        <f aca="false">IF($L2,N2/N$38*LN(N2/N$38),0)</f>
        <v>-1.99114823882613E-006</v>
      </c>
      <c r="Z2" s="15" t="n">
        <f aca="false">IF($L2,O2/O$38*LN(O2/O$38),0)</f>
        <v>-1.82668770990439E-006</v>
      </c>
      <c r="AA2" s="15" t="n">
        <f aca="false">IF($L2,P2/P$38*LN(P2/P$38),0)</f>
        <v>-0.0167802378649551</v>
      </c>
      <c r="AB2" s="15" t="n">
        <f aca="false">IF($L2,Q2/Q$38*LN(Q2/Q$38),0)</f>
        <v>-0.164646906168434</v>
      </c>
      <c r="AC2" s="15" t="n">
        <f aca="false">IF($L2,R2/R$38*LN(R2/R$38),0)</f>
        <v>-0.173866376566833</v>
      </c>
      <c r="AD2" s="15" t="n">
        <f aca="false">IF($L2,S2/S$38*LN(S2/S$38),0)</f>
        <v>-0.0612251424773831</v>
      </c>
      <c r="AE2" s="15" t="n">
        <f aca="false">IF($L2,T2/T$38*LN(T2/T$38),0)</f>
        <v>-0.094610966935777</v>
      </c>
      <c r="AF2" s="15" t="n">
        <f aca="false">IF($L2,U2/U$38*LN(U2/U$38),0)</f>
        <v>-1.81424555084807E-006</v>
      </c>
      <c r="AG2" s="15" t="n">
        <f aca="false">IF($L2,V2/V$38*LN(V2/V$38),0)</f>
        <v>-2.11132670698034E-006</v>
      </c>
      <c r="AH2" s="15" t="n">
        <f aca="false">IF($L2,W2/W$38*LN(W2/W$38),0)</f>
        <v>-0.0650182320294946</v>
      </c>
    </row>
    <row r="3" customFormat="false" ht="15" hidden="false" customHeight="false" outlineLevel="0" collapsed="false">
      <c r="A3" s="17" t="str">
        <f aca="false">Показатели!A2&amp;" Д"</f>
        <v>культиватор 0.08×3.6 Д</v>
      </c>
      <c r="B3" s="25" t="n">
        <f aca="false">Показатели!N2</f>
        <v>273.776719655</v>
      </c>
      <c r="C3" s="25" t="n">
        <f aca="false">Показатели!O2</f>
        <v>314.84322760325</v>
      </c>
      <c r="D3" s="25" t="n">
        <f aca="false">Показатели!P2</f>
        <v>1</v>
      </c>
      <c r="E3" s="25" t="n">
        <f aca="false">Показатели!Q2</f>
        <v>7.13834243403734</v>
      </c>
      <c r="F3" s="25" t="n">
        <f aca="false">Показатели!R2</f>
        <v>58.5227249567695</v>
      </c>
      <c r="G3" s="25" t="n">
        <f aca="false">Показатели!S2</f>
        <v>9594.15579953004</v>
      </c>
      <c r="H3" s="25" t="n">
        <f aca="false">Показатели!T2</f>
        <v>11219.7160324664</v>
      </c>
      <c r="I3" s="25" t="n">
        <f aca="false">Показатели!U2</f>
        <v>20.4379278182562</v>
      </c>
      <c r="J3" s="25" t="n">
        <f aca="false">Показатели!V2</f>
        <v>20.4379278182562</v>
      </c>
      <c r="K3" s="25" t="n">
        <f aca="false">Показатели!W2</f>
        <v>1</v>
      </c>
      <c r="L3" s="26" t="b">
        <f aca="false">Показатели!B2</f>
        <v>1</v>
      </c>
      <c r="N3" s="15" t="n">
        <f aca="false">IF($L3,IF(B$37&gt;B$36,(B3-B$36)/(B$37-B$36),0)+0.000001,0)</f>
        <v>0.334537321669197</v>
      </c>
      <c r="O3" s="15" t="n">
        <f aca="false">IF($L3,IF(C$37&gt;C$36,(C3-C$36)/(C$37-C$36),0)+0.000001,0)</f>
        <v>0.207496045436925</v>
      </c>
      <c r="P3" s="15" t="n">
        <f aca="false">IF($L3,IF(D$37&gt;D$36,(D3-D$36)/(D$37-D$36),0)+0.000001,0)</f>
        <v>1.000001</v>
      </c>
      <c r="Q3" s="15" t="n">
        <f aca="false">IF($L3,IF(E$37&gt;E$36,(E3-E$36)/(E$37-E$36),0)+0.000001,0)</f>
        <v>0.58458159481052</v>
      </c>
      <c r="R3" s="15" t="n">
        <f aca="false">IF($L3,IF(F$37&gt;F$36,(F3-F$36)/(F$37-F$36),0)+0.000001,0)</f>
        <v>0.996398879741584</v>
      </c>
      <c r="S3" s="15" t="n">
        <f aca="false">IF($L3,IF(G$37&gt;G$36,(G3-G$36)/(G$37-G$36),0)+0.000001,0)</f>
        <v>0.25373444989731</v>
      </c>
      <c r="T3" s="15" t="n">
        <f aca="false">IF($L3,IF(H$37&gt;H$36,(H3-H$36)/(H$37-H$36),0)+0.000001,0)</f>
        <v>0.179010463620881</v>
      </c>
      <c r="U3" s="15" t="n">
        <f aca="false">IF($L3,IF(I$37&gt;I$36,(I3-I$36)/(I$37-I$36),0)+0.000001,0)</f>
        <v>0.196917407441555</v>
      </c>
      <c r="V3" s="15" t="n">
        <f aca="false">IF($L3,IF(J$37&gt;J$36,(J3-J$36)/(J$37-J$36),0)+0.000001,0)</f>
        <v>0.414491453878356</v>
      </c>
      <c r="W3" s="15" t="n">
        <f aca="false">IF($L3,IF(K$37&gt;K$36,(K3-K$36)/(K$37-K$36),0)+0.000001,0)</f>
        <v>1.000001</v>
      </c>
      <c r="Y3" s="15" t="n">
        <f aca="false">IF($L3,N3/N$38*LN(N3/N$38),0)</f>
        <v>-0.13295532505332</v>
      </c>
      <c r="Z3" s="15" t="n">
        <f aca="false">IF($L3,O3/O$38*LN(O3/O$38),0)</f>
        <v>-0.088725431526075</v>
      </c>
      <c r="AA3" s="15" t="n">
        <f aca="false">IF($L3,P3/P$38*LN(P3/P$38),0)</f>
        <v>-0.19653551219816</v>
      </c>
      <c r="AB3" s="15" t="n">
        <f aca="false">IF($L3,Q3/Q$38*LN(Q3/Q$38),0)</f>
        <v>-0.182984568066369</v>
      </c>
      <c r="AC3" s="15" t="n">
        <f aca="false">IF($L3,R3/R$38*LN(R3/R$38),0)</f>
        <v>-0.183586924363748</v>
      </c>
      <c r="AD3" s="15" t="n">
        <f aca="false">IF($L3,S3/S$38*LN(S3/S$38),0)</f>
        <v>-0.0971295017657366</v>
      </c>
      <c r="AE3" s="15" t="n">
        <f aca="false">IF($L3,T3/T$38*LN(T3/T$38),0)</f>
        <v>-0.0740767501318165</v>
      </c>
      <c r="AF3" s="15" t="n">
        <f aca="false">IF($L3,U3/U$38*LN(U3/U$38),0)</f>
        <v>-0.0849222131748751</v>
      </c>
      <c r="AG3" s="15" t="n">
        <f aca="false">IF($L3,V3/V$38*LN(V3/V$38),0)</f>
        <v>-0.160059234006008</v>
      </c>
      <c r="AH3" s="15" t="n">
        <f aca="false">IF($L3,W3/W$38*LN(W3/W$38),0)</f>
        <v>-0.208501502148063</v>
      </c>
    </row>
    <row r="4" customFormat="false" ht="15" hidden="false" customHeight="false" outlineLevel="0" collapsed="false">
      <c r="A4" s="17" t="str">
        <f aca="false">Показатели!A3&amp;" ЭТ"</f>
        <v>культиватор 0.08×4.5 ЭТ</v>
      </c>
      <c r="B4" s="25" t="n">
        <f aca="false">Показатели!D3</f>
        <v>83.9241664732351</v>
      </c>
      <c r="C4" s="25" t="n">
        <f aca="false">Показатели!E3</f>
        <v>209.810416183088</v>
      </c>
      <c r="D4" s="25" t="n">
        <f aca="false">Показатели!F3</f>
        <v>0.264590189630799</v>
      </c>
      <c r="E4" s="25" t="n">
        <f aca="false">Показатели!G3</f>
        <v>6.28108824565419</v>
      </c>
      <c r="F4" s="25" t="n">
        <f aca="false">Показатели!H3</f>
        <v>41.4123722891585</v>
      </c>
      <c r="G4" s="25" t="n">
        <f aca="false">Показатели!I3</f>
        <v>7277.49707344535</v>
      </c>
      <c r="H4" s="25" t="n">
        <f aca="false">Показатели!J3</f>
        <v>10785.4204044106</v>
      </c>
      <c r="I4" s="25" t="n">
        <f aca="false">Показатели!K3</f>
        <v>14.1272346896612</v>
      </c>
      <c r="J4" s="25" t="n">
        <f aca="false">Показатели!L3</f>
        <v>0</v>
      </c>
      <c r="K4" s="25" t="n">
        <f aca="false">Показатели!M3</f>
        <v>0.248741983586481</v>
      </c>
      <c r="L4" s="26" t="b">
        <f aca="false">Показатели!B3</f>
        <v>1</v>
      </c>
      <c r="N4" s="15" t="n">
        <f aca="false">IF($L4,IF(B$37&gt;B$36,(B4-B$36)/(B$37-B$36),0)+0.000001,0)</f>
        <v>0.00785560033416249</v>
      </c>
      <c r="O4" s="15" t="n">
        <f aca="false">IF($L4,IF(C$37&gt;C$36,(C4-C$36)/(C$37-C$36),0)+0.000001,0)</f>
        <v>0.0203359865653086</v>
      </c>
      <c r="P4" s="15" t="n">
        <f aca="false">IF($L4,IF(D$37&gt;D$36,(D4-D$36)/(D$37-D$36),0)+0.000001,0)</f>
        <v>1E-006</v>
      </c>
      <c r="Q4" s="15" t="n">
        <f aca="false">IF($L4,IF(E$37&gt;E$36,(E4-E$36)/(E$37-E$36),0)+0.000001,0)</f>
        <v>0.514378439388989</v>
      </c>
      <c r="R4" s="15" t="n">
        <f aca="false">IF($L4,IF(F$37&gt;F$36,(F4-F$36)/(F$37-F$36),0)+0.000001,0)</f>
        <v>0.691188311345422</v>
      </c>
      <c r="S4" s="15" t="n">
        <f aca="false">IF($L4,IF(G$37&gt;G$36,(G4-G$36)/(G$37-G$36),0)+0.000001,0)</f>
        <v>0.071292197119541</v>
      </c>
      <c r="T4" s="15" t="n">
        <f aca="false">IF($L4,IF(H$37&gt;H$36,(H4-H$36)/(H$37-H$36),0)+0.000001,0)</f>
        <v>0.152837837172992</v>
      </c>
      <c r="U4" s="15" t="n">
        <f aca="false">IF($L4,IF(I$37&gt;I$36,(I4-I$36)/(I$37-I$36),0)+0.000001,0)</f>
        <v>0.021375219576006</v>
      </c>
      <c r="V4" s="15" t="n">
        <f aca="false">IF($L4,IF(J$37&gt;J$36,(J4-J$36)/(J$37-J$36),0)+0.000001,0)</f>
        <v>1E-006</v>
      </c>
      <c r="W4" s="15" t="n">
        <f aca="false">IF($L4,IF(K$37&gt;K$36,(K4-K$36)/(K$37-K$36),0)+0.000001,0)</f>
        <v>0.115691659048657</v>
      </c>
      <c r="Y4" s="15" t="n">
        <f aca="false">IF($L4,N4/N$38*LN(N4/N$38),0)</f>
        <v>-0.00681432920566137</v>
      </c>
      <c r="Z4" s="15" t="n">
        <f aca="false">IF($L4,O4/O$38*LN(O4/O$38),0)</f>
        <v>-0.0140935664443076</v>
      </c>
      <c r="AA4" s="15" t="n">
        <f aca="false">IF($L4,P4/P$38*LN(P4/P$38),0)</f>
        <v>-1.25249723726808E-006</v>
      </c>
      <c r="AB4" s="15" t="n">
        <f aca="false">IF($L4,Q4/Q$38*LN(Q4/Q$38),0)</f>
        <v>-0.168676935740122</v>
      </c>
      <c r="AC4" s="15" t="n">
        <f aca="false">IF($L4,R4/R$38*LN(R4/R$38),0)</f>
        <v>-0.144722099226559</v>
      </c>
      <c r="AD4" s="15" t="n">
        <f aca="false">IF($L4,S4/S$38*LN(S4/S$38),0)</f>
        <v>-0.0368678603115918</v>
      </c>
      <c r="AE4" s="15" t="n">
        <f aca="false">IF($L4,T4/T$38*LN(T4/T$38),0)</f>
        <v>-0.06575472050579</v>
      </c>
      <c r="AF4" s="15" t="n">
        <f aca="false">IF($L4,U4/U$38*LN(U4/U$38),0)</f>
        <v>-0.014603001657097</v>
      </c>
      <c r="AG4" s="15" t="n">
        <f aca="false">IF($L4,V4/V$38*LN(V4/V$38),0)</f>
        <v>-2.11132670698034E-006</v>
      </c>
      <c r="AH4" s="15" t="n">
        <f aca="false">IF($L4,W4/W$38*LN(W4/W$38),0)</f>
        <v>-0.0451563073680582</v>
      </c>
    </row>
    <row r="5" customFormat="false" ht="15" hidden="false" customHeight="false" outlineLevel="0" collapsed="false">
      <c r="A5" s="17" t="str">
        <f aca="false">Показатели!A3&amp;" Д"</f>
        <v>культиватор 0.08×4.5 Д</v>
      </c>
      <c r="B5" s="25" t="n">
        <f aca="false">Показатели!N3</f>
        <v>248.780452554724</v>
      </c>
      <c r="C5" s="25" t="n">
        <f aca="false">Показатели!O3</f>
        <v>286.097520437932</v>
      </c>
      <c r="D5" s="25" t="n">
        <f aca="false">Показатели!P3</f>
        <v>1</v>
      </c>
      <c r="E5" s="25" t="n">
        <f aca="false">Показатели!Q3</f>
        <v>7.42159785469284</v>
      </c>
      <c r="F5" s="25" t="n">
        <f aca="false">Показатели!R3</f>
        <v>47.1798364025519</v>
      </c>
      <c r="G5" s="25" t="n">
        <f aca="false">Показатели!S3</f>
        <v>8096.44187575985</v>
      </c>
      <c r="H5" s="25" t="n">
        <f aca="false">Показатели!T3</f>
        <v>9428.397726991</v>
      </c>
      <c r="I5" s="25" t="n">
        <f aca="false">Показатели!U3</f>
        <v>18.5719112213554</v>
      </c>
      <c r="J5" s="25" t="n">
        <f aca="false">Показатели!V3</f>
        <v>18.5719112213554</v>
      </c>
      <c r="K5" s="25" t="n">
        <f aca="false">Показатели!W3</f>
        <v>0.937430740089793</v>
      </c>
      <c r="L5" s="26" t="b">
        <f aca="false">Показатели!B3</f>
        <v>1</v>
      </c>
      <c r="N5" s="15" t="n">
        <f aca="false">IF($L5,IF(B$37&gt;B$36,(B5-B$36)/(B$37-B$36),0)+0.000001,0)</f>
        <v>0.291525924527487</v>
      </c>
      <c r="O5" s="15" t="n">
        <f aca="false">IF($L5,IF(C$37&gt;C$36,(C5-C$36)/(C$37-C$36),0)+0.000001,0)</f>
        <v>0.156273497238674</v>
      </c>
      <c r="P5" s="15" t="n">
        <f aca="false">IF($L5,IF(D$37&gt;D$36,(D5-D$36)/(D$37-D$36),0)+0.000001,0)</f>
        <v>1.000001</v>
      </c>
      <c r="Q5" s="15" t="n">
        <f aca="false">IF($L5,IF(E$37&gt;E$36,(E5-E$36)/(E$37-E$36),0)+0.000001,0)</f>
        <v>0.607778243587208</v>
      </c>
      <c r="R5" s="15" t="n">
        <f aca="false">IF($L5,IF(F$37&gt;F$36,(F5-F$36)/(F$37-F$36),0)+0.000001,0)</f>
        <v>0.794067020770589</v>
      </c>
      <c r="S5" s="15" t="n">
        <f aca="false">IF($L5,IF(G$37&gt;G$36,(G5-G$36)/(G$37-G$36),0)+0.000001,0)</f>
        <v>0.135786001473458</v>
      </c>
      <c r="T5" s="15" t="n">
        <f aca="false">IF($L5,IF(H$37&gt;H$36,(H5-H$36)/(H$37-H$36),0)+0.000001,0)</f>
        <v>0.0710574891266372</v>
      </c>
      <c r="U5" s="15" t="n">
        <f aca="false">IF($L5,IF(I$37&gt;I$36,(I5-I$36)/(I$37-I$36),0)+0.000001,0)</f>
        <v>0.145011122452172</v>
      </c>
      <c r="V5" s="15" t="n">
        <f aca="false">IF($L5,IF(J$37&gt;J$36,(J5-J$36)/(J$37-J$36),0)+0.000001,0)</f>
        <v>0.376647790221657</v>
      </c>
      <c r="W5" s="15" t="n">
        <f aca="false">IF($L5,IF(K$37&gt;K$36,(K5-K$36)/(K$37-K$36),0)+0.000001,0)</f>
        <v>0.926350430174263</v>
      </c>
      <c r="Y5" s="15" t="n">
        <f aca="false">IF($L5,N5/N$38*LN(N5/N$38),0)</f>
        <v>-0.120887769177608</v>
      </c>
      <c r="Z5" s="15" t="n">
        <f aca="false">IF($L5,O5/O$38*LN(O5/O$38),0)</f>
        <v>-0.0718856298144445</v>
      </c>
      <c r="AA5" s="15" t="n">
        <f aca="false">IF($L5,P5/P$38*LN(P5/P$38),0)</f>
        <v>-0.19653551219816</v>
      </c>
      <c r="AB5" s="15" t="n">
        <f aca="false">IF($L5,Q5/Q$38*LN(Q5/Q$38),0)</f>
        <v>-0.18748999853378</v>
      </c>
      <c r="AC5" s="15" t="n">
        <f aca="false">IF($L5,R5/R$38*LN(R5/R$38),0)</f>
        <v>-0.15869201181754</v>
      </c>
      <c r="AD5" s="15" t="n">
        <f aca="false">IF($L5,S5/S$38*LN(S5/S$38),0)</f>
        <v>-0.0609623224652217</v>
      </c>
      <c r="AE5" s="15" t="n">
        <f aca="false">IF($L5,T5/T$38*LN(T5/T$38),0)</f>
        <v>-0.0362217025575046</v>
      </c>
      <c r="AF5" s="15" t="n">
        <f aca="false">IF($L5,U5/U$38*LN(U5/U$38),0)</f>
        <v>-0.0675708386297342</v>
      </c>
      <c r="AG5" s="15" t="n">
        <f aca="false">IF($L5,V5/V$38*LN(V5/V$38),0)</f>
        <v>-0.150255194903306</v>
      </c>
      <c r="AH5" s="15" t="n">
        <f aca="false">IF($L5,W5/W$38*LN(W5/W$38),0)</f>
        <v>-0.199119345731267</v>
      </c>
    </row>
    <row r="6" customFormat="false" ht="15" hidden="false" customHeight="false" outlineLevel="0" collapsed="false">
      <c r="A6" s="17" t="str">
        <f aca="false">Показатели!A4&amp;" ЭТ"</f>
        <v>культиватор 0.08×5.4 ЭТ</v>
      </c>
      <c r="B6" s="25" t="n">
        <f aca="false">Показатели!D4</f>
        <v>84.557098066794</v>
      </c>
      <c r="C6" s="25" t="n">
        <f aca="false">Показатели!E4</f>
        <v>211.392745166985</v>
      </c>
      <c r="D6" s="25" t="n">
        <f aca="false">Показатели!F4</f>
        <v>0.265194471519839</v>
      </c>
      <c r="E6" s="25" t="n">
        <f aca="false">Показатели!G4</f>
        <v>6.56765377905751</v>
      </c>
      <c r="F6" s="25" t="n">
        <f aca="false">Показатели!H4</f>
        <v>28.0461826211228</v>
      </c>
      <c r="G6" s="25" t="n">
        <f aca="false">Показатели!I4</f>
        <v>6372.23871697688</v>
      </c>
      <c r="H6" s="25" t="n">
        <f aca="false">Показатели!J4</f>
        <v>9364.65864508013</v>
      </c>
      <c r="I6" s="25" t="n">
        <f aca="false">Показатели!K4</f>
        <v>14.233778174577</v>
      </c>
      <c r="J6" s="25" t="n">
        <f aca="false">Показатели!L4</f>
        <v>0</v>
      </c>
      <c r="K6" s="25" t="n">
        <f aca="false">Показатели!M4</f>
        <v>0.207991051553127</v>
      </c>
      <c r="L6" s="26" t="b">
        <f aca="false">Показатели!B4</f>
        <v>1</v>
      </c>
      <c r="N6" s="15" t="n">
        <f aca="false">IF($L6,IF(B$37&gt;B$36,(B6-B$36)/(B$37-B$36),0)+0.000001,0)</f>
        <v>0.00894469383860007</v>
      </c>
      <c r="O6" s="15" t="n">
        <f aca="false">IF($L6,IF(C$37&gt;C$36,(C6-C$36)/(C$37-C$36),0)+0.000001,0)</f>
        <v>0.0231555701009315</v>
      </c>
      <c r="P6" s="15" t="n">
        <f aca="false">IF($L6,IF(D$37&gt;D$36,(D6-D$36)/(D$37-D$36),0)+0.000001,0)</f>
        <v>0.000822694082019325</v>
      </c>
      <c r="Q6" s="15" t="n">
        <f aca="false">IF($L6,IF(E$37&gt;E$36,(E6-E$36)/(E$37-E$36),0)+0.000001,0)</f>
        <v>0.537846163376329</v>
      </c>
      <c r="R6" s="15" t="n">
        <f aca="false">IF($L6,IF(F$37&gt;F$36,(F6-F$36)/(F$37-F$36),0)+0.000001,0)</f>
        <v>0.452765268575861</v>
      </c>
      <c r="S6" s="15" t="n">
        <f aca="false">IF($L6,IF(G$37&gt;G$36,(G6-G$36)/(G$37-G$36),0)+0.000001,0)</f>
        <v>1E-006</v>
      </c>
      <c r="T6" s="15" t="n">
        <f aca="false">IF($L6,IF(H$37&gt;H$36,(H6-H$36)/(H$37-H$36),0)+0.000001,0)</f>
        <v>0.0672162826460369</v>
      </c>
      <c r="U6" s="15" t="n">
        <f aca="false">IF($L6,IF(I$37&gt;I$36,(I6-I$36)/(I$37-I$36),0)+0.000001,0)</f>
        <v>0.0243388998031722</v>
      </c>
      <c r="V6" s="15" t="n">
        <f aca="false">IF($L6,IF(J$37&gt;J$36,(J6-J$36)/(J$37-J$36),0)+0.000001,0)</f>
        <v>1E-006</v>
      </c>
      <c r="W6" s="15" t="n">
        <f aca="false">IF($L6,IF(K$37&gt;K$36,(K6-K$36)/(K$37-K$36),0)+0.000001,0)</f>
        <v>0.0677235454814905</v>
      </c>
      <c r="Y6" s="15" t="n">
        <f aca="false">IF($L6,N6/N$38*LN(N6/N$38),0)</f>
        <v>-0.0076135626906121</v>
      </c>
      <c r="Z6" s="15" t="n">
        <f aca="false">IF($L6,O6/O$38*LN(O6/O$38),0)</f>
        <v>-0.0157040517936754</v>
      </c>
      <c r="AA6" s="15" t="n">
        <f aca="false">IF($L6,P6/P$38*LN(P6/P$38),0)</f>
        <v>-0.000608327829386177</v>
      </c>
      <c r="AB6" s="15" t="n">
        <f aca="false">IF($L6,Q6/Q$38*LN(Q6/Q$38),0)</f>
        <v>-0.17357692121598</v>
      </c>
      <c r="AC6" s="15" t="n">
        <f aca="false">IF($L6,R6/R$38*LN(R6/R$38),0)</f>
        <v>-0.107961992370657</v>
      </c>
      <c r="AD6" s="15" t="n">
        <f aca="false">IF($L6,S6/S$38*LN(S6/S$38),0)</f>
        <v>-1.69961801354465E-006</v>
      </c>
      <c r="AE6" s="15" t="n">
        <f aca="false">IF($L6,T6/T$38*LN(T6/T$38),0)</f>
        <v>-0.0346515143172814</v>
      </c>
      <c r="AF6" s="15" t="n">
        <f aca="false">IF($L6,U6/U$38*LN(U6/U$38),0)</f>
        <v>-0.0162691891302206</v>
      </c>
      <c r="AG6" s="15" t="n">
        <f aca="false">IF($L6,V6/V$38*LN(V6/V$38),0)</f>
        <v>-2.11132670698034E-006</v>
      </c>
      <c r="AH6" s="15" t="n">
        <f aca="false">IF($L6,W6/W$38*LN(W6/W$38),0)</f>
        <v>-0.0294906755909262</v>
      </c>
    </row>
    <row r="7" customFormat="false" ht="15" hidden="false" customHeight="false" outlineLevel="0" collapsed="false">
      <c r="A7" s="17" t="str">
        <f aca="false">Показатели!A4&amp;" Д"</f>
        <v>культиватор 0.08×5.4 Д</v>
      </c>
      <c r="B7" s="25" t="n">
        <f aca="false">Показатели!N4</f>
        <v>233.686067692926</v>
      </c>
      <c r="C7" s="25" t="n">
        <f aca="false">Показатели!O4</f>
        <v>268.738977846865</v>
      </c>
      <c r="D7" s="25" t="n">
        <f aca="false">Показатели!P4</f>
        <v>1</v>
      </c>
      <c r="E7" s="25" t="n">
        <f aca="false">Показатели!Q4</f>
        <v>7.77531420291213</v>
      </c>
      <c r="F7" s="25" t="n">
        <f aca="false">Показатели!R4</f>
        <v>35.0097715280041</v>
      </c>
      <c r="G7" s="25" t="n">
        <f aca="false">Показатели!S4</f>
        <v>7113.10186770286</v>
      </c>
      <c r="H7" s="25" t="n">
        <f aca="false">Показатели!T4</f>
        <v>8249.32146446387</v>
      </c>
      <c r="I7" s="25" t="n">
        <f aca="false">Показатели!U4</f>
        <v>17.4450880617561</v>
      </c>
      <c r="J7" s="25" t="n">
        <f aca="false">Показатели!V4</f>
        <v>17.4450880617561</v>
      </c>
      <c r="K7" s="25" t="n">
        <f aca="false">Показатели!W4</f>
        <v>0.852141767356705</v>
      </c>
      <c r="L7" s="26" t="b">
        <f aca="false">Показатели!B4</f>
        <v>1</v>
      </c>
      <c r="N7" s="15" t="n">
        <f aca="false">IF($L7,IF(B$37&gt;B$36,(B7-B$36)/(B$37-B$36),0)+0.000001,0)</f>
        <v>0.265552823052131</v>
      </c>
      <c r="O7" s="15" t="n">
        <f aca="false">IF($L7,IF(C$37&gt;C$36,(C7-C$36)/(C$37-C$36),0)+0.000001,0)</f>
        <v>0.125341964422007</v>
      </c>
      <c r="P7" s="15" t="n">
        <f aca="false">IF($L7,IF(D$37&gt;D$36,(D7-D$36)/(D$37-D$36),0)+0.000001,0)</f>
        <v>1.000001</v>
      </c>
      <c r="Q7" s="15" t="n">
        <f aca="false">IF($L7,IF(E$37&gt;E$36,(E7-E$36)/(E$37-E$36),0)+0.000001,0)</f>
        <v>0.636745152242399</v>
      </c>
      <c r="R7" s="15" t="n">
        <f aca="false">IF($L7,IF(F$37&gt;F$36,(F7-F$36)/(F$37-F$36),0)+0.000001,0)</f>
        <v>0.576980179257957</v>
      </c>
      <c r="S7" s="15" t="n">
        <f aca="false">IF($L7,IF(G$37&gt;G$36,(G7-G$36)/(G$37-G$36),0)+0.000001,0)</f>
        <v>0.0583456930255976</v>
      </c>
      <c r="T7" s="15" t="n">
        <f aca="false">IF($L7,IF(H$37&gt;H$36,(H7-H$36)/(H$37-H$36),0)+0.000001,0)</f>
        <v>1E-006</v>
      </c>
      <c r="U7" s="15" t="n">
        <f aca="false">IF($L7,IF(I$37&gt;I$36,(I7-I$36)/(I$37-I$36),0)+0.000001,0)</f>
        <v>0.113666704534377</v>
      </c>
      <c r="V7" s="15" t="n">
        <f aca="false">IF($L7,IF(J$37&gt;J$36,(J7-J$36)/(J$37-J$36),0)+0.000001,0)</f>
        <v>0.353795305027646</v>
      </c>
      <c r="W7" s="15" t="n">
        <f aca="false">IF($L7,IF(K$37&gt;K$36,(K7-K$36)/(K$37-K$36),0)+0.000001,0)</f>
        <v>0.825956379634775</v>
      </c>
      <c r="Y7" s="15" t="n">
        <f aca="false">IF($L7,N7/N$38*LN(N7/N$38),0)</f>
        <v>-0.113222072276067</v>
      </c>
      <c r="Z7" s="15" t="n">
        <f aca="false">IF($L7,O7/O$38*LN(O7/O$38),0)</f>
        <v>-0.0608164442276998</v>
      </c>
      <c r="AA7" s="15" t="n">
        <f aca="false">IF($L7,P7/P$38*LN(P7/P$38),0)</f>
        <v>-0.19653551219816</v>
      </c>
      <c r="AB7" s="15" t="n">
        <f aca="false">IF($L7,Q7/Q$38*LN(Q7/Q$38),0)</f>
        <v>-0.19297175762032</v>
      </c>
      <c r="AC7" s="15" t="n">
        <f aca="false">IF($L7,R7/R$38*LN(R7/R$38),0)</f>
        <v>-0.127969375174455</v>
      </c>
      <c r="AD7" s="15" t="n">
        <f aca="false">IF($L7,S7/S$38*LN(S7/S$38),0)</f>
        <v>-0.0314100353772235</v>
      </c>
      <c r="AE7" s="15" t="n">
        <f aca="false">IF($L7,T7/T$38*LN(T7/T$38),0)</f>
        <v>-1.66972797761875E-006</v>
      </c>
      <c r="AF7" s="15" t="n">
        <f aca="false">IF($L7,U7/U$38*LN(U7/U$38),0)</f>
        <v>-0.0561057787004976</v>
      </c>
      <c r="AG7" s="15" t="n">
        <f aca="false">IF($L7,V7/V$38*LN(V7/V$38),0)</f>
        <v>-0.144092245219751</v>
      </c>
      <c r="AH7" s="15" t="n">
        <f aca="false">IF($L7,W7/W$38*LN(W7/W$38),0)</f>
        <v>-0.185526438669665</v>
      </c>
    </row>
    <row r="8" customFormat="false" ht="15" hidden="false" customHeight="false" outlineLevel="0" collapsed="false">
      <c r="A8" s="17" t="str">
        <f aca="false">Показатели!A5&amp;" ЭТ"</f>
        <v>культиватор 0.11×3.6 ЭТ</v>
      </c>
      <c r="B8" s="25" t="n">
        <f aca="false">Показатели!D5</f>
        <v>104.569457422301</v>
      </c>
      <c r="C8" s="25" t="n">
        <f aca="false">Показатели!E5</f>
        <v>261.423643555751</v>
      </c>
      <c r="D8" s="25" t="n">
        <f aca="false">Показатели!F5</f>
        <v>0.264707672093046</v>
      </c>
      <c r="E8" s="25" t="n">
        <f aca="false">Показатели!G5</f>
        <v>9.15650239669171</v>
      </c>
      <c r="F8" s="25" t="n">
        <f aca="false">Показатели!H5</f>
        <v>40.9974488895695</v>
      </c>
      <c r="G8" s="25" t="n">
        <f aca="false">Показатели!I5</f>
        <v>8908.85734186845</v>
      </c>
      <c r="H8" s="25" t="n">
        <f aca="false">Показатели!J5</f>
        <v>13190.0357771266</v>
      </c>
      <c r="I8" s="25" t="n">
        <f aca="false">Показатели!K5</f>
        <v>17.6025253327539</v>
      </c>
      <c r="J8" s="25" t="n">
        <f aca="false">Показатели!L5</f>
        <v>0</v>
      </c>
      <c r="K8" s="25" t="n">
        <f aca="false">Показатели!M5</f>
        <v>0.243262254502212</v>
      </c>
      <c r="L8" s="26" t="b">
        <f aca="false">Показатели!B5</f>
        <v>1</v>
      </c>
      <c r="N8" s="15" t="n">
        <f aca="false">IF($L8,IF(B$37&gt;B$36,(B8-B$36)/(B$37-B$36),0)+0.000001,0)</f>
        <v>0.0433802170520961</v>
      </c>
      <c r="O8" s="15" t="n">
        <f aca="false">IF($L8,IF(C$37&gt;C$36,(C8-C$36)/(C$37-C$36),0)+0.000001,0)</f>
        <v>0.112306624530804</v>
      </c>
      <c r="P8" s="15" t="n">
        <f aca="false">IF($L8,IF(D$37&gt;D$36,(D8-D$36)/(D$37-D$36),0)+0.000001,0)</f>
        <v>0.000160751013095129</v>
      </c>
      <c r="Q8" s="15" t="n">
        <f aca="false">IF($L8,IF(E$37&gt;E$36,(E8-E$36)/(E$37-E$36),0)+0.000001,0)</f>
        <v>0.749854858497871</v>
      </c>
      <c r="R8" s="15" t="n">
        <f aca="false">IF($L8,IF(F$37&gt;F$36,(F8-F$36)/(F$37-F$36),0)+0.000001,0)</f>
        <v>0.6837870023783</v>
      </c>
      <c r="S8" s="15" t="n">
        <f aca="false">IF($L8,IF(G$37&gt;G$36,(G8-G$36)/(G$37-G$36),0)+0.000001,0)</f>
        <v>0.199765605443377</v>
      </c>
      <c r="T8" s="15" t="n">
        <f aca="false">IF($L8,IF(H$37&gt;H$36,(H8-H$36)/(H$37-H$36),0)+0.000001,0)</f>
        <v>0.297750877588993</v>
      </c>
      <c r="U8" s="15" t="n">
        <f aca="false">IF($L8,IF(I$37&gt;I$36,(I8-I$36)/(I$37-I$36),0)+0.000001,0)</f>
        <v>0.118046078152991</v>
      </c>
      <c r="V8" s="15" t="n">
        <f aca="false">IF($L8,IF(J$37&gt;J$36,(J8-J$36)/(J$37-J$36),0)+0.000001,0)</f>
        <v>1E-006</v>
      </c>
      <c r="W8" s="15" t="n">
        <f aca="false">IF($L8,IF(K$37&gt;K$36,(K8-K$36)/(K$37-K$36),0)+0.000001,0)</f>
        <v>0.109241444196727</v>
      </c>
      <c r="Y8" s="15" t="n">
        <f aca="false">IF($L8,N8/N$38*LN(N8/N$38),0)</f>
        <v>-0.0283429203311924</v>
      </c>
      <c r="Z8" s="15" t="n">
        <f aca="false">IF($L8,O8/O$38*LN(O8/O$38),0)</f>
        <v>-0.0559009973091858</v>
      </c>
      <c r="AA8" s="15" t="n">
        <f aca="false">IF($L8,P8/P$38*LN(P8/P$38),0)</f>
        <v>-0.000138925560628058</v>
      </c>
      <c r="AB8" s="15" t="n">
        <f aca="false">IF($L8,Q8/Q$38*LN(Q8/Q$38),0)</f>
        <v>-0.212965733551187</v>
      </c>
      <c r="AC8" s="15" t="n">
        <f aca="false">IF($L8,R8/R$38*LN(R8/R$38),0)</f>
        <v>-0.143678242454519</v>
      </c>
      <c r="AD8" s="15" t="n">
        <f aca="false">IF($L8,S8/S$38*LN(S8/S$38),0)</f>
        <v>-0.0815254998084013</v>
      </c>
      <c r="AE8" s="15" t="n">
        <f aca="false">IF($L8,T8/T$38*LN(T8/T$38),0)</f>
        <v>-0.10748192513611</v>
      </c>
      <c r="AF8" s="15" t="n">
        <f aca="false">IF($L8,U8/U$38*LN(U8/U$38),0)</f>
        <v>-0.0577611535943633</v>
      </c>
      <c r="AG8" s="15" t="n">
        <f aca="false">IF($L8,V8/V$38*LN(V8/V$38),0)</f>
        <v>-2.11132670698034E-006</v>
      </c>
      <c r="AH8" s="15" t="n">
        <f aca="false">IF($L8,W8/W$38*LN(W8/W$38),0)</f>
        <v>-0.0431669734031522</v>
      </c>
    </row>
    <row r="9" customFormat="false" ht="15" hidden="false" customHeight="false" outlineLevel="0" collapsed="false">
      <c r="A9" s="17" t="str">
        <f aca="false">Показатели!A5&amp;" Д"</f>
        <v>культиватор 0.11×3.6 Д</v>
      </c>
      <c r="B9" s="25" t="n">
        <f aca="false">Показатели!N5</f>
        <v>309.600752415835</v>
      </c>
      <c r="C9" s="25" t="n">
        <f aca="false">Показатели!O5</f>
        <v>356.040865278211</v>
      </c>
      <c r="D9" s="25" t="n">
        <f aca="false">Показатели!P5</f>
        <v>1</v>
      </c>
      <c r="E9" s="25" t="n">
        <f aca="false">Показатели!Q5</f>
        <v>11.0505962827421</v>
      </c>
      <c r="F9" s="25" t="n">
        <f aca="false">Показатели!R5</f>
        <v>45.9263300439399</v>
      </c>
      <c r="G9" s="25" t="n">
        <f aca="false">Показатели!S5</f>
        <v>9938.68175683906</v>
      </c>
      <c r="H9" s="25" t="n">
        <f aca="false">Показатели!T5</f>
        <v>11564.2419897754</v>
      </c>
      <c r="I9" s="25" t="n">
        <f aca="false">Показатели!U5</f>
        <v>23.1122567263075</v>
      </c>
      <c r="J9" s="25" t="n">
        <f aca="false">Показатели!V5</f>
        <v>23.1122567263075</v>
      </c>
      <c r="K9" s="25" t="n">
        <f aca="false">Показатели!W5</f>
        <v>0.91947235853551</v>
      </c>
      <c r="L9" s="26" t="b">
        <f aca="false">Показатели!B5</f>
        <v>1</v>
      </c>
      <c r="N9" s="15" t="n">
        <f aca="false">IF($L9,IF(B$37&gt;B$36,(B9-B$36)/(B$37-B$36),0)+0.000001,0)</f>
        <v>0.39618019394739</v>
      </c>
      <c r="O9" s="15" t="n">
        <f aca="false">IF($L9,IF(C$37&gt;C$36,(C9-C$36)/(C$37-C$36),0)+0.000001,0)</f>
        <v>0.280906936646652</v>
      </c>
      <c r="P9" s="15" t="n">
        <f aca="false">IF($L9,IF(D$37&gt;D$36,(D9-D$36)/(D$37-D$36),0)+0.000001,0)</f>
        <v>1.000001</v>
      </c>
      <c r="Q9" s="15" t="n">
        <f aca="false">IF($L9,IF(E$37&gt;E$36,(E9-E$36)/(E$37-E$36),0)+0.000001,0)</f>
        <v>0.904967973449414</v>
      </c>
      <c r="R9" s="15" t="n">
        <f aca="false">IF($L9,IF(F$37&gt;F$36,(F9-F$36)/(F$37-F$36),0)+0.000001,0)</f>
        <v>0.771707260242427</v>
      </c>
      <c r="S9" s="15" t="n">
        <f aca="false">IF($L9,IF(G$37&gt;G$36,(G9-G$36)/(G$37-G$36),0)+0.000001,0)</f>
        <v>0.280866668848742</v>
      </c>
      <c r="T9" s="15" t="n">
        <f aca="false">IF($L9,IF(H$37&gt;H$36,(H9-H$36)/(H$37-H$36),0)+0.000001,0)</f>
        <v>0.199773162114109</v>
      </c>
      <c r="U9" s="15" t="n">
        <f aca="false">IF($L9,IF(I$37&gt;I$36,(I9-I$36)/(I$37-I$36),0)+0.000001,0)</f>
        <v>0.271308213336425</v>
      </c>
      <c r="V9" s="15" t="n">
        <f aca="false">IF($L9,IF(J$37&gt;J$36,(J9-J$36)/(J$37-J$36),0)+0.000001,0)</f>
        <v>0.468728058135663</v>
      </c>
      <c r="W9" s="15" t="n">
        <f aca="false">IF($L9,IF(K$37&gt;K$36,(K9-K$36)/(K$37-K$36),0)+0.000001,0)</f>
        <v>0.90521153486818</v>
      </c>
      <c r="Y9" s="15" t="n">
        <f aca="false">IF($L9,N9/N$38*LN(N9/N$38),0)</f>
        <v>-0.149059546226539</v>
      </c>
      <c r="Z9" s="15" t="n">
        <f aca="false">IF($L9,O9/O$38*LN(O9/O$38),0)</f>
        <v>-0.110392097876768</v>
      </c>
      <c r="AA9" s="15" t="n">
        <f aca="false">IF($L9,P9/P$38*LN(P9/P$38),0)</f>
        <v>-0.19653551219816</v>
      </c>
      <c r="AB9" s="15" t="n">
        <f aca="false">IF($L9,Q9/Q$38*LN(Q9/Q$38),0)</f>
        <v>-0.23719509908782</v>
      </c>
      <c r="AC9" s="15" t="n">
        <f aca="false">IF($L9,R9/R$38*LN(R9/R$38),0)</f>
        <v>-0.155738069186573</v>
      </c>
      <c r="AD9" s="15" t="n">
        <f aca="false">IF($L9,S9/S$38*LN(S9/S$38),0)</f>
        <v>-0.104496292249956</v>
      </c>
      <c r="AE9" s="15" t="n">
        <f aca="false">IF($L9,T9/T$38*LN(T9/T$38),0)</f>
        <v>-0.0803922432252994</v>
      </c>
      <c r="AF9" s="15" t="n">
        <f aca="false">IF($L9,U9/U$38*LN(U9/U$38),0)</f>
        <v>-0.107139979940136</v>
      </c>
      <c r="AG9" s="15" t="n">
        <f aca="false">IF($L9,V9/V$38*LN(V9/V$38),0)</f>
        <v>-0.173315496382223</v>
      </c>
      <c r="AH9" s="15" t="n">
        <f aca="false">IF($L9,W9/W$38*LN(W9/W$38),0)</f>
        <v>-0.196336996236006</v>
      </c>
    </row>
    <row r="10" customFormat="false" ht="15" hidden="false" customHeight="false" outlineLevel="0" collapsed="false">
      <c r="A10" s="17" t="str">
        <f aca="false">Показатели!A6&amp;" ЭТ"</f>
        <v>культиватор 0.11×4.5 ЭТ</v>
      </c>
      <c r="B10" s="25" t="n">
        <f aca="false">Показатели!D6</f>
        <v>104.996714194875</v>
      </c>
      <c r="C10" s="25" t="n">
        <f aca="false">Показатели!E6</f>
        <v>262.491785487189</v>
      </c>
      <c r="D10" s="25" t="n">
        <f aca="false">Показатели!F6</f>
        <v>0.265489489728764</v>
      </c>
      <c r="E10" s="25" t="n">
        <f aca="false">Показатели!G6</f>
        <v>9.54929677505618</v>
      </c>
      <c r="F10" s="25" t="n">
        <f aca="false">Показатели!H6</f>
        <v>24.6024999833757</v>
      </c>
      <c r="G10" s="25" t="n">
        <f aca="false">Показатели!I6</f>
        <v>7544.35747639801</v>
      </c>
      <c r="H10" s="25" t="n">
        <f aca="false">Показатели!J6</f>
        <v>11052.2808073632</v>
      </c>
      <c r="I10" s="25" t="n">
        <f aca="false">Показатели!K6</f>
        <v>17.6744468894707</v>
      </c>
      <c r="J10" s="25" t="n">
        <f aca="false">Показатели!L6</f>
        <v>0</v>
      </c>
      <c r="K10" s="25" t="n">
        <f aca="false">Показатели!M6</f>
        <v>0.195690775609259</v>
      </c>
      <c r="L10" s="26" t="b">
        <f aca="false">Показатели!B6</f>
        <v>1</v>
      </c>
      <c r="N10" s="15" t="n">
        <f aca="false">IF($L10,IF(B$37&gt;B$36,(B10-B$36)/(B$37-B$36),0)+0.000001,0)</f>
        <v>0.0441154032562195</v>
      </c>
      <c r="O10" s="15" t="n">
        <f aca="false">IF($L10,IF(C$37&gt;C$36,(C10-C$36)/(C$37-C$36),0)+0.000001,0)</f>
        <v>0.114209967915295</v>
      </c>
      <c r="P10" s="15" t="n">
        <f aca="false">IF($L10,IF(D$37&gt;D$36,(D10-D$36)/(D$37-D$36),0)+0.000001,0)</f>
        <v>0.00122385572654137</v>
      </c>
      <c r="Q10" s="15" t="n">
        <f aca="false">IF($L10,IF(E$37&gt;E$36,(E10-E$36)/(E$37-E$36),0)+0.000001,0)</f>
        <v>0.782021986015829</v>
      </c>
      <c r="R10" s="15" t="n">
        <f aca="false">IF($L10,IF(F$37&gt;F$36,(F10-F$36)/(F$37-F$36),0)+0.000001,0)</f>
        <v>0.391337643110703</v>
      </c>
      <c r="S10" s="15" t="n">
        <f aca="false">IF($L10,IF(G$37&gt;G$36,(G10-G$36)/(G$37-G$36),0)+0.000001,0)</f>
        <v>0.0923080733656511</v>
      </c>
      <c r="T10" s="15" t="n">
        <f aca="false">IF($L10,IF(H$37&gt;H$36,(H10-H$36)/(H$37-H$36),0)+0.000001,0)</f>
        <v>0.168920056723484</v>
      </c>
      <c r="U10" s="15" t="n">
        <f aca="false">IF($L10,IF(I$37&gt;I$36,(I10-I$36)/(I$37-I$36),0)+0.000001,0)</f>
        <v>0.120046693166825</v>
      </c>
      <c r="V10" s="15" t="n">
        <f aca="false">IF($L10,IF(J$37&gt;J$36,(J10-J$36)/(J$37-J$36),0)+0.000001,0)</f>
        <v>1E-006</v>
      </c>
      <c r="W10" s="15" t="n">
        <f aca="false">IF($L10,IF(K$37&gt;K$36,(K10-K$36)/(K$37-K$36),0)+0.000001,0)</f>
        <v>0.0532448328743759</v>
      </c>
      <c r="Y10" s="15" t="n">
        <f aca="false">IF($L10,N10/N$38*LN(N10/N$38),0)</f>
        <v>-0.0287303763107537</v>
      </c>
      <c r="Z10" s="15" t="n">
        <f aca="false">IF($L10,O10/O$38*LN(O10/O$38),0)</f>
        <v>-0.0566290502467162</v>
      </c>
      <c r="AA10" s="15" t="n">
        <f aca="false">IF($L10,P10/P$38*LN(P10/P$38),0)</f>
        <v>-0.000867807155289646</v>
      </c>
      <c r="AB10" s="15" t="n">
        <f aca="false">IF($L10,Q10/Q$38*LN(Q10/Q$38),0)</f>
        <v>-0.218274483858432</v>
      </c>
      <c r="AC10" s="15" t="n">
        <f aca="false">IF($L10,R10/R$38*LN(R10/R$38),0)</f>
        <v>-0.0972352605067981</v>
      </c>
      <c r="AD10" s="15" t="n">
        <f aca="false">IF($L10,S10/S$38*LN(S10/S$38),0)</f>
        <v>-0.0452124540165071</v>
      </c>
      <c r="AE10" s="15" t="n">
        <f aca="false">IF($L10,T10/T$38*LN(T10/T$38),0)</f>
        <v>-0.0709188602487245</v>
      </c>
      <c r="AF10" s="15" t="n">
        <f aca="false">IF($L10,U10/U$38*LN(U10/U$38),0)</f>
        <v>-0.0585111975068402</v>
      </c>
      <c r="AG10" s="15" t="n">
        <f aca="false">IF($L10,V10/V$38*LN(V10/V$38),0)</f>
        <v>-2.11132670698034E-006</v>
      </c>
      <c r="AH10" s="15" t="n">
        <f aca="false">IF($L10,W10/W$38*LN(W10/W$38),0)</f>
        <v>-0.0242654300615069</v>
      </c>
    </row>
    <row r="11" customFormat="false" ht="15" hidden="false" customHeight="false" outlineLevel="0" collapsed="false">
      <c r="A11" s="17" t="str">
        <f aca="false">Показатели!A6&amp;" Д"</f>
        <v>культиватор 0.11×4.5 Д</v>
      </c>
      <c r="B11" s="25" t="n">
        <f aca="false">Показатели!N6</f>
        <v>286.186238751288</v>
      </c>
      <c r="C11" s="25" t="n">
        <f aca="false">Показатели!O6</f>
        <v>329.114174563981</v>
      </c>
      <c r="D11" s="25" t="n">
        <f aca="false">Показатели!P6</f>
        <v>1</v>
      </c>
      <c r="E11" s="25" t="n">
        <f aca="false">Показатели!Q6</f>
        <v>11.5615906427994</v>
      </c>
      <c r="F11" s="25" t="n">
        <f aca="false">Показатели!R6</f>
        <v>30.7400837293674</v>
      </c>
      <c r="G11" s="25" t="n">
        <f aca="false">Показатели!S6</f>
        <v>8456.23755222311</v>
      </c>
      <c r="H11" s="25" t="n">
        <f aca="false">Показатели!T6</f>
        <v>9788.19340345426</v>
      </c>
      <c r="I11" s="25" t="n">
        <f aca="false">Показатели!U6</f>
        <v>21.3643208872828</v>
      </c>
      <c r="J11" s="25" t="n">
        <f aca="false">Показатели!V6</f>
        <v>21.3643208872828</v>
      </c>
      <c r="K11" s="25" t="n">
        <f aca="false">Показатели!W6</f>
        <v>0.816138449084606</v>
      </c>
      <c r="L11" s="26" t="b">
        <f aca="false">Показатели!B6</f>
        <v>1</v>
      </c>
      <c r="N11" s="15" t="n">
        <f aca="false">IF($L11,IF(B$37&gt;B$36,(B11-B$36)/(B$37-B$36),0)+0.000001,0)</f>
        <v>0.355890540213665</v>
      </c>
      <c r="O11" s="15" t="n">
        <f aca="false">IF($L11,IF(C$37&gt;C$36,(C11-C$36)/(C$37-C$36),0)+0.000001,0)</f>
        <v>0.23292573009651</v>
      </c>
      <c r="P11" s="15" t="n">
        <f aca="false">IF($L11,IF(D$37&gt;D$36,(D11-D$36)/(D$37-D$36),0)+0.000001,0)</f>
        <v>1.000001</v>
      </c>
      <c r="Q11" s="15" t="n">
        <f aca="false">IF($L11,IF(E$37&gt;E$36,(E11-E$36)/(E$37-E$36),0)+0.000001,0)</f>
        <v>0.946814857331413</v>
      </c>
      <c r="R11" s="15" t="n">
        <f aca="false">IF($L11,IF(F$37&gt;F$36,(F11-F$36)/(F$37-F$36),0)+0.000001,0)</f>
        <v>0.500818462126149</v>
      </c>
      <c r="S11" s="15" t="n">
        <f aca="false">IF($L11,IF(G$37&gt;G$36,(G11-G$36)/(G$37-G$36),0)+0.000001,0)</f>
        <v>0.164120746256777</v>
      </c>
      <c r="T11" s="15" t="n">
        <f aca="false">IF($L11,IF(H$37&gt;H$36,(H11-H$36)/(H$37-H$36),0)+0.000001,0)</f>
        <v>0.0927404102276245</v>
      </c>
      <c r="U11" s="15" t="n">
        <f aca="false">IF($L11,IF(I$37&gt;I$36,(I11-I$36)/(I$37-I$36),0)+0.000001,0)</f>
        <v>0.222686536576283</v>
      </c>
      <c r="V11" s="15" t="n">
        <f aca="false">IF($L11,IF(J$37&gt;J$36,(J11-J$36)/(J$37-J$36),0)+0.000001,0)</f>
        <v>0.43327912585103</v>
      </c>
      <c r="W11" s="15" t="n">
        <f aca="false">IF($L11,IF(K$37&gt;K$36,(K11-K$36)/(K$37-K$36),0)+0.000001,0)</f>
        <v>0.78357670453293</v>
      </c>
      <c r="Y11" s="15" t="n">
        <f aca="false">IF($L11,N11/N$38*LN(N11/N$38),0)</f>
        <v>-0.138682837442359</v>
      </c>
      <c r="Z11" s="15" t="n">
        <f aca="false">IF($L11,O11/O$38*LN(O11/O$38),0)</f>
        <v>-0.0965219169450481</v>
      </c>
      <c r="AA11" s="15" t="n">
        <f aca="false">IF($L11,P11/P$38*LN(P11/P$38),0)</f>
        <v>-0.19653551219816</v>
      </c>
      <c r="AB11" s="15" t="n">
        <f aca="false">IF($L11,Q11/Q$38*LN(Q11/Q$38),0)</f>
        <v>-0.243176749883541</v>
      </c>
      <c r="AC11" s="15" t="n">
        <f aca="false">IF($L11,R11/R$38*LN(R11/R$38),0)</f>
        <v>-0.115949028756361</v>
      </c>
      <c r="AD11" s="15" t="n">
        <f aca="false">IF($L11,S11/S$38*LN(S11/S$38),0)</f>
        <v>-0.070391999833935</v>
      </c>
      <c r="AE11" s="15" t="n">
        <f aca="false">IF($L11,T11/T$38*LN(T11/T$38),0)</f>
        <v>-0.044710060947661</v>
      </c>
      <c r="AF11" s="15" t="n">
        <f aca="false">IF($L11,U11/U$38*LN(U11/U$38),0)</f>
        <v>-0.0929284636625501</v>
      </c>
      <c r="AG11" s="15" t="n">
        <f aca="false">IF($L11,V11/V$38*LN(V11/V$38),0)</f>
        <v>-0.164752505654664</v>
      </c>
      <c r="AH11" s="15" t="n">
        <f aca="false">IF($L11,W11/W$38*LN(W11/W$38),0)</f>
        <v>-0.179486340595867</v>
      </c>
    </row>
    <row r="12" customFormat="false" ht="15" hidden="false" customHeight="false" outlineLevel="0" collapsed="false">
      <c r="A12" s="17" t="str">
        <f aca="false">Показатели!A7&amp;" ЭТ"</f>
        <v>культиватор 0.11×5.4 ЭТ</v>
      </c>
      <c r="B12" s="25" t="n">
        <f aca="false">Показатели!D7</f>
        <v>106.661489427314</v>
      </c>
      <c r="C12" s="25" t="n">
        <f aca="false">Показатели!E7</f>
        <v>266.653723568285</v>
      </c>
      <c r="D12" s="25" t="n">
        <f aca="false">Показатели!F7</f>
        <v>0.266311383680694</v>
      </c>
      <c r="E12" s="25" t="n">
        <f aca="false">Показатели!G7</f>
        <v>10.0439576070286</v>
      </c>
      <c r="F12" s="25" t="n">
        <f aca="false">Показатели!H7</f>
        <v>6.88659616338457</v>
      </c>
      <c r="G12" s="25" t="n">
        <f aca="false">Показатели!I7</f>
        <v>6652.16627312302</v>
      </c>
      <c r="H12" s="25" t="n">
        <f aca="false">Показатели!J7</f>
        <v>9732.97462676842</v>
      </c>
      <c r="I12" s="25" t="n">
        <f aca="false">Показатели!K7</f>
        <v>17.9546840535978</v>
      </c>
      <c r="J12" s="25" t="n">
        <f aca="false">Показатели!L7</f>
        <v>0</v>
      </c>
      <c r="K12" s="25" t="n">
        <f aca="false">Показатели!M7</f>
        <v>0.162853773406157</v>
      </c>
      <c r="L12" s="26" t="b">
        <f aca="false">Показатели!B7</f>
        <v>1</v>
      </c>
      <c r="N12" s="15" t="n">
        <f aca="false">IF($L12,IF(B$37&gt;B$36,(B12-B$36)/(B$37-B$36),0)+0.000001,0)</f>
        <v>0.0469800033337767</v>
      </c>
      <c r="O12" s="15" t="n">
        <f aca="false">IF($L12,IF(C$37&gt;C$36,(C12-C$36)/(C$37-C$36),0)+0.000001,0)</f>
        <v>0.121626208285763</v>
      </c>
      <c r="P12" s="15" t="n">
        <f aca="false">IF($L12,IF(D$37&gt;D$36,(D12-D$36)/(D$37-D$36),0)+0.000001,0)</f>
        <v>0.00234145565564438</v>
      </c>
      <c r="Q12" s="15" t="n">
        <f aca="false">IF($L12,IF(E$37&gt;E$36,(E12-E$36)/(E$37-E$36),0)+0.000001,0)</f>
        <v>0.822531267555066</v>
      </c>
      <c r="R12" s="15" t="n">
        <f aca="false">IF($L12,IF(F$37&gt;F$36,(F12-F$36)/(F$37-F$36),0)+0.000001,0)</f>
        <v>0.0753253913710559</v>
      </c>
      <c r="S12" s="15" t="n">
        <f aca="false">IF($L12,IF(G$37&gt;G$36,(G12-G$36)/(G$37-G$36),0)+0.000001,0)</f>
        <v>0.0220459448953536</v>
      </c>
      <c r="T12" s="15" t="n">
        <f aca="false">IF($L12,IF(H$37&gt;H$36,(H12-H$36)/(H$37-H$36),0)+0.000001,0)</f>
        <v>0.0894126760259756</v>
      </c>
      <c r="U12" s="15" t="n">
        <f aca="false">IF($L12,IF(I$37&gt;I$36,(I12-I$36)/(I$37-I$36),0)+0.000001,0)</f>
        <v>0.127841945433047</v>
      </c>
      <c r="V12" s="15" t="n">
        <f aca="false">IF($L12,IF(J$37&gt;J$36,(J12-J$36)/(J$37-J$36),0)+0.000001,0)</f>
        <v>1E-006</v>
      </c>
      <c r="W12" s="15" t="n">
        <f aca="false">IF($L12,IF(K$37&gt;K$36,(K12-K$36)/(K$37-K$36),0)+0.000001,0)</f>
        <v>0.014592243294475</v>
      </c>
      <c r="Y12" s="15" t="n">
        <f aca="false">IF($L12,N12/N$38*LN(N12/N$38),0)</f>
        <v>-0.0302256552824623</v>
      </c>
      <c r="Z12" s="15" t="n">
        <f aca="false">IF($L12,O12/O$38*LN(O12/O$38),0)</f>
        <v>-0.0594318148472806</v>
      </c>
      <c r="AA12" s="15" t="n">
        <f aca="false">IF($L12,P12/P$38*LN(P12/P$38),0)</f>
        <v>-0.0015441645751677</v>
      </c>
      <c r="AB12" s="15" t="n">
        <f aca="false">IF($L12,Q12/Q$38*LN(Q12/Q$38),0)</f>
        <v>-0.224741383232598</v>
      </c>
      <c r="AC12" s="15" t="n">
        <f aca="false">IF($L12,R12/R$38*LN(R12/R$38),0)</f>
        <v>-0.0272446462936226</v>
      </c>
      <c r="AD12" s="15" t="n">
        <f aca="false">IF($L12,S12/S$38*LN(S12/S$38),0)</f>
        <v>-0.0141387898936304</v>
      </c>
      <c r="AE12" s="15" t="n">
        <f aca="false">IF($L12,T12/T$38*LN(T12/T$38),0)</f>
        <v>-0.0434450268746466</v>
      </c>
      <c r="AF12" s="15" t="n">
        <f aca="false">IF($L12,U12/U$38*LN(U12/U$38),0)</f>
        <v>-0.0613981685595404</v>
      </c>
      <c r="AG12" s="15" t="n">
        <f aca="false">IF($L12,V12/V$38*LN(V12/V$38),0)</f>
        <v>-2.11132670698034E-006</v>
      </c>
      <c r="AH12" s="15" t="n">
        <f aca="false">IF($L12,W12/W$38*LN(W12/W$38),0)</f>
        <v>-0.00824240459507273</v>
      </c>
    </row>
    <row r="13" customFormat="false" ht="15" hidden="false" customHeight="false" outlineLevel="0" collapsed="false">
      <c r="A13" s="17" t="str">
        <f aca="false">Показатели!A7&amp;" Д"</f>
        <v>культиватор 0.11×5.4 Д</v>
      </c>
      <c r="B13" s="25" t="n">
        <f aca="false">Показатели!N7</f>
        <v>273.103946706245</v>
      </c>
      <c r="C13" s="25" t="n">
        <f aca="false">Показатели!O7</f>
        <v>314.069538712182</v>
      </c>
      <c r="D13" s="25" t="n">
        <f aca="false">Показатели!P7</f>
        <v>1</v>
      </c>
      <c r="E13" s="25" t="n">
        <f aca="false">Показатели!Q7</f>
        <v>12.2110492503623</v>
      </c>
      <c r="F13" s="25" t="n">
        <f aca="false">Показатели!R7</f>
        <v>14.2209331468773</v>
      </c>
      <c r="G13" s="25" t="n">
        <f aca="false">Показатели!S7</f>
        <v>7492.25314020846</v>
      </c>
      <c r="H13" s="25" t="n">
        <f aca="false">Показатели!T7</f>
        <v>8628.47273696947</v>
      </c>
      <c r="I13" s="25" t="n">
        <f aca="false">Показатели!U7</f>
        <v>20.3877040995191</v>
      </c>
      <c r="J13" s="25" t="n">
        <f aca="false">Показатели!V7</f>
        <v>20.3877040995191</v>
      </c>
      <c r="K13" s="25" t="n">
        <f aca="false">Показатели!W7</f>
        <v>0.730843496321383</v>
      </c>
      <c r="L13" s="26" t="b">
        <f aca="false">Показатели!B7</f>
        <v>1</v>
      </c>
      <c r="N13" s="15" t="n">
        <f aca="false">IF($L13,IF(B$37&gt;B$36,(B13-B$36)/(B$37-B$36),0)+0.000001,0)</f>
        <v>0.333379672634282</v>
      </c>
      <c r="O13" s="15" t="n">
        <f aca="false">IF($L13,IF(C$37&gt;C$36,(C13-C$36)/(C$37-C$36),0)+0.000001,0)</f>
        <v>0.206117393790428</v>
      </c>
      <c r="P13" s="15" t="n">
        <f aca="false">IF($L13,IF(D$37&gt;D$36,(D13-D$36)/(D$37-D$36),0)+0.000001,0)</f>
        <v>1.000001</v>
      </c>
      <c r="Q13" s="15" t="n">
        <f aca="false">IF($L13,IF(E$37&gt;E$36,(E13-E$36)/(E$37-E$36),0)+0.000001,0)</f>
        <v>1.000001</v>
      </c>
      <c r="R13" s="15" t="n">
        <f aca="false">IF($L13,IF(F$37&gt;F$36,(F13-F$36)/(F$37-F$36),0)+0.000001,0)</f>
        <v>0.206153621684403</v>
      </c>
      <c r="S13" s="15" t="n">
        <f aca="false">IF($L13,IF(G$37&gt;G$36,(G13-G$36)/(G$37-G$36),0)+0.000001,0)</f>
        <v>0.0882047359310616</v>
      </c>
      <c r="T13" s="15" t="n">
        <f aca="false">IF($L13,IF(H$37&gt;H$36,(H13-H$36)/(H$37-H$36),0)+0.000001,0)</f>
        <v>0.0228503772017781</v>
      </c>
      <c r="U13" s="15" t="n">
        <f aca="false">IF($L13,IF(I$37&gt;I$36,(I13-I$36)/(I$37-I$36),0)+0.000001,0)</f>
        <v>0.19552035306255</v>
      </c>
      <c r="V13" s="15" t="n">
        <f aca="false">IF($L13,IF(J$37&gt;J$36,(J13-J$36)/(J$37-J$36),0)+0.000001,0)</f>
        <v>0.41347289406349</v>
      </c>
      <c r="W13" s="15" t="n">
        <f aca="false">IF($L13,IF(K$37&gt;K$36,(K13-K$36)/(K$37-K$36),0)+0.000001,0)</f>
        <v>0.683175614871874</v>
      </c>
      <c r="Y13" s="15" t="n">
        <f aca="false">IF($L13,N13/N$38*LN(N13/N$38),0)</f>
        <v>-0.132640027553873</v>
      </c>
      <c r="Z13" s="15" t="n">
        <f aca="false">IF($L13,O13/O$38*LN(O13/O$38),0)</f>
        <v>-0.088292943889809</v>
      </c>
      <c r="AA13" s="15" t="n">
        <f aca="false">IF($L13,P13/P$38*LN(P13/P$38),0)</f>
        <v>-0.19653551219816</v>
      </c>
      <c r="AB13" s="15" t="n">
        <f aca="false">IF($L13,Q13/Q$38*LN(Q13/Q$38),0)</f>
        <v>-0.250469373967409</v>
      </c>
      <c r="AC13" s="15" t="n">
        <f aca="false">IF($L13,R13/R$38*LN(R13/R$38),0)</f>
        <v>-0.0603022342317882</v>
      </c>
      <c r="AD13" s="15" t="n">
        <f aca="false">IF($L13,S13/S$38*LN(S13/S$38),0)</f>
        <v>-0.0436270556438433</v>
      </c>
      <c r="AE13" s="15" t="n">
        <f aca="false">IF($L13,T13/T$38*LN(T13/T$38),0)</f>
        <v>-0.0143398939813577</v>
      </c>
      <c r="AF13" s="15" t="n">
        <f aca="false">IF($L13,U13/U$38*LN(U13/U$38),0)</f>
        <v>-0.0844776511719033</v>
      </c>
      <c r="AG13" s="15" t="n">
        <f aca="false">IF($L13,V13/V$38*LN(V13/V$38),0)</f>
        <v>-0.159801591345966</v>
      </c>
      <c r="AH13" s="15" t="n">
        <f aca="false">IF($L13,W13/W$38*LN(W13/W$38),0)</f>
        <v>-0.164384981391074</v>
      </c>
    </row>
    <row r="14" customFormat="false" ht="15" hidden="false" customHeight="false" outlineLevel="0" collapsed="false">
      <c r="A14" s="17" t="str">
        <f aca="false">Показатели!A8&amp;" ЭТ"</f>
        <v>культиватор 0.14×3.6 ЭТ</v>
      </c>
      <c r="B14" s="25" t="n">
        <f aca="false">Показатели!D8</f>
        <v>127.326878905358</v>
      </c>
      <c r="C14" s="25" t="n">
        <f aca="false">Показатели!E8</f>
        <v>318.317197263396</v>
      </c>
      <c r="D14" s="25" t="n">
        <f aca="false">Показатели!F8</f>
        <v>0.265542419887628</v>
      </c>
      <c r="E14" s="25" t="n">
        <f aca="false">Показатели!G8</f>
        <v>13.0903268045503</v>
      </c>
      <c r="F14" s="25" t="n">
        <f aca="false">Показатели!H8</f>
        <v>26.4743127527381</v>
      </c>
      <c r="G14" s="25" t="n">
        <f aca="false">Показатели!I8</f>
        <v>9197.0547989275</v>
      </c>
      <c r="H14" s="25" t="n">
        <f aca="false">Показатели!J8</f>
        <v>13478.2332341857</v>
      </c>
      <c r="I14" s="25" t="n">
        <f aca="false">Показатели!K8</f>
        <v>21.4333579490686</v>
      </c>
      <c r="J14" s="25" t="n">
        <f aca="false">Показатели!L8</f>
        <v>0</v>
      </c>
      <c r="K14" s="25" t="n">
        <f aca="false">Показатели!M8</f>
        <v>0.197077405980129</v>
      </c>
      <c r="L14" s="26" t="b">
        <f aca="false">Показатели!B8</f>
        <v>0</v>
      </c>
      <c r="N14" s="15" t="n">
        <f aca="false">IF($L14,IF(B$37&gt;B$36,(B14-B$36)/(B$37-B$36),0)+0.000001,0)</f>
        <v>0</v>
      </c>
      <c r="O14" s="15" t="n">
        <f aca="false">IF($L14,IF(C$37&gt;C$36,(C14-C$36)/(C$37-C$36),0)+0.000001,0)</f>
        <v>0</v>
      </c>
      <c r="P14" s="15" t="n">
        <f aca="false">IF($L14,IF(D$37&gt;D$36,(D14-D$36)/(D$37-D$36),0)+0.000001,0)</f>
        <v>0</v>
      </c>
      <c r="Q14" s="15" t="n">
        <f aca="false">IF($L14,IF(E$37&gt;E$36,(E14-E$36)/(E$37-E$36),0)+0.000001,0)</f>
        <v>0</v>
      </c>
      <c r="R14" s="15" t="n">
        <f aca="false">IF($L14,IF(F$37&gt;F$36,(F14-F$36)/(F$37-F$36),0)+0.000001,0)</f>
        <v>0</v>
      </c>
      <c r="S14" s="15" t="n">
        <f aca="false">IF($L14,IF(G$37&gt;G$36,(G14-G$36)/(G$37-G$36),0)+0.000001,0)</f>
        <v>0</v>
      </c>
      <c r="T14" s="15" t="n">
        <f aca="false">IF($L14,IF(H$37&gt;H$36,(H14-H$36)/(H$37-H$36),0)+0.000001,0)</f>
        <v>0</v>
      </c>
      <c r="U14" s="15" t="n">
        <f aca="false">IF($L14,IF(I$37&gt;I$36,(I14-I$36)/(I$37-I$36),0)+0.000001,0)</f>
        <v>0</v>
      </c>
      <c r="V14" s="15" t="n">
        <f aca="false">IF($L14,IF(J$37&gt;J$36,(J14-J$36)/(J$37-J$36),0)+0.000001,0)</f>
        <v>0</v>
      </c>
      <c r="W14" s="15" t="n">
        <f aca="false">IF($L14,IF(K$37&gt;K$36,(K14-K$36)/(K$37-K$36),0)+0.000001,0)</f>
        <v>0</v>
      </c>
      <c r="Y14" s="15" t="n">
        <f aca="false">IF($L14,N14/N$38*LN(N14/N$38),0)</f>
        <v>0</v>
      </c>
      <c r="Z14" s="15" t="n">
        <f aca="false">IF($L14,O14/O$38*LN(O14/O$38),0)</f>
        <v>0</v>
      </c>
      <c r="AA14" s="15" t="n">
        <f aca="false">IF($L14,P14/P$38*LN(P14/P$38),0)</f>
        <v>0</v>
      </c>
      <c r="AB14" s="15" t="n">
        <f aca="false">IF($L14,Q14/Q$38*LN(Q14/Q$38),0)</f>
        <v>0</v>
      </c>
      <c r="AC14" s="15" t="n">
        <f aca="false">IF($L14,R14/R$38*LN(R14/R$38),0)</f>
        <v>0</v>
      </c>
      <c r="AD14" s="15" t="n">
        <f aca="false">IF($L14,S14/S$38*LN(S14/S$38),0)</f>
        <v>0</v>
      </c>
      <c r="AE14" s="15" t="n">
        <f aca="false">IF($L14,T14/T$38*LN(T14/T$38),0)</f>
        <v>0</v>
      </c>
      <c r="AF14" s="15" t="n">
        <f aca="false">IF($L14,U14/U$38*LN(U14/U$38),0)</f>
        <v>0</v>
      </c>
      <c r="AG14" s="15" t="n">
        <f aca="false">IF($L14,V14/V$38*LN(V14/V$38),0)</f>
        <v>0</v>
      </c>
      <c r="AH14" s="15" t="n">
        <f aca="false">IF($L14,W14/W$38*LN(W14/W$38),0)</f>
        <v>0</v>
      </c>
    </row>
    <row r="15" customFormat="false" ht="15" hidden="false" customHeight="false" outlineLevel="0" collapsed="false">
      <c r="A15" s="17" t="str">
        <f aca="false">Показатели!A8&amp;" Д"</f>
        <v>культиватор 0.14×3.6 Д</v>
      </c>
      <c r="B15" s="25" t="n">
        <f aca="false">Показатели!N8</f>
        <v>351.947824453962</v>
      </c>
      <c r="C15" s="25" t="n">
        <f aca="false">Показатели!O8</f>
        <v>404.739998122056</v>
      </c>
      <c r="D15" s="25" t="n">
        <f aca="false">Показатели!P8</f>
        <v>1</v>
      </c>
      <c r="E15" s="25" t="n">
        <f aca="false">Показатели!Q8</f>
        <v>16.3806562287673</v>
      </c>
      <c r="F15" s="25" t="n">
        <f aca="false">Показатели!R8</f>
        <v>31.0371844965239</v>
      </c>
      <c r="G15" s="25" t="n">
        <f aca="false">Показатели!S8</f>
        <v>10346.0065007707</v>
      </c>
      <c r="H15" s="25" t="n">
        <f aca="false">Показатели!T8</f>
        <v>11971.5667337071</v>
      </c>
      <c r="I15" s="25" t="n">
        <f aca="false">Показатели!U8</f>
        <v>26.2735423269253</v>
      </c>
      <c r="J15" s="25" t="n">
        <f aca="false">Показатели!V8</f>
        <v>26.2735423269253</v>
      </c>
      <c r="K15" s="25" t="n">
        <f aca="false">Показатели!W8</f>
        <v>0.810014606560205</v>
      </c>
      <c r="L15" s="26" t="b">
        <f aca="false">Показатели!B8</f>
        <v>0</v>
      </c>
      <c r="N15" s="15" t="n">
        <f aca="false">IF($L15,IF(B$37&gt;B$36,(B15-B$36)/(B$37-B$36),0)+0.000001,0)</f>
        <v>0</v>
      </c>
      <c r="O15" s="15" t="n">
        <f aca="false">IF($L15,IF(C$37&gt;C$36,(C15-C$36)/(C$37-C$36),0)+0.000001,0)</f>
        <v>0</v>
      </c>
      <c r="P15" s="15" t="n">
        <f aca="false">IF($L15,IF(D$37&gt;D$36,(D15-D$36)/(D$37-D$36),0)+0.000001,0)</f>
        <v>0</v>
      </c>
      <c r="Q15" s="15" t="n">
        <f aca="false">IF($L15,IF(E$37&gt;E$36,(E15-E$36)/(E$37-E$36),0)+0.000001,0)</f>
        <v>0</v>
      </c>
      <c r="R15" s="15" t="n">
        <f aca="false">IF($L15,IF(F$37&gt;F$36,(F15-F$36)/(F$37-F$36),0)+0.000001,0)</f>
        <v>0</v>
      </c>
      <c r="S15" s="15" t="n">
        <f aca="false">IF($L15,IF(G$37&gt;G$36,(G15-G$36)/(G$37-G$36),0)+0.000001,0)</f>
        <v>0</v>
      </c>
      <c r="T15" s="15" t="n">
        <f aca="false">IF($L15,IF(H$37&gt;H$36,(H15-H$36)/(H$37-H$36),0)+0.000001,0)</f>
        <v>0</v>
      </c>
      <c r="U15" s="15" t="n">
        <f aca="false">IF($L15,IF(I$37&gt;I$36,(I15-I$36)/(I$37-I$36),0)+0.000001,0)</f>
        <v>0</v>
      </c>
      <c r="V15" s="15" t="n">
        <f aca="false">IF($L15,IF(J$37&gt;J$36,(J15-J$36)/(J$37-J$36),0)+0.000001,0)</f>
        <v>0</v>
      </c>
      <c r="W15" s="15" t="n">
        <f aca="false">IF($L15,IF(K$37&gt;K$36,(K15-K$36)/(K$37-K$36),0)+0.000001,0)</f>
        <v>0</v>
      </c>
      <c r="Y15" s="15" t="n">
        <f aca="false">IF($L15,N15/N$38*LN(N15/N$38),0)</f>
        <v>0</v>
      </c>
      <c r="Z15" s="15" t="n">
        <f aca="false">IF($L15,O15/O$38*LN(O15/O$38),0)</f>
        <v>0</v>
      </c>
      <c r="AA15" s="15" t="n">
        <f aca="false">IF($L15,P15/P$38*LN(P15/P$38),0)</f>
        <v>0</v>
      </c>
      <c r="AB15" s="15" t="n">
        <f aca="false">IF($L15,Q15/Q$38*LN(Q15/Q$38),0)</f>
        <v>0</v>
      </c>
      <c r="AC15" s="15" t="n">
        <f aca="false">IF($L15,R15/R$38*LN(R15/R$38),0)</f>
        <v>0</v>
      </c>
      <c r="AD15" s="15" t="n">
        <f aca="false">IF($L15,S15/S$38*LN(S15/S$38),0)</f>
        <v>0</v>
      </c>
      <c r="AE15" s="15" t="n">
        <f aca="false">IF($L15,T15/T$38*LN(T15/T$38),0)</f>
        <v>0</v>
      </c>
      <c r="AF15" s="15" t="n">
        <f aca="false">IF($L15,U15/U$38*LN(U15/U$38),0)</f>
        <v>0</v>
      </c>
      <c r="AG15" s="15" t="n">
        <f aca="false">IF($L15,V15/V$38*LN(V15/V$38),0)</f>
        <v>0</v>
      </c>
      <c r="AH15" s="15" t="n">
        <f aca="false">IF($L15,W15/W$38*LN(W15/W$38),0)</f>
        <v>0</v>
      </c>
    </row>
    <row r="16" customFormat="false" ht="15" hidden="false" customHeight="false" outlineLevel="0" collapsed="false">
      <c r="A16" s="17" t="str">
        <f aca="false">Показатели!A9&amp;" ЭТ"</f>
        <v>культиватор 0.14×4.5 ЭТ</v>
      </c>
      <c r="B16" s="25" t="n">
        <f aca="false">Показатели!D9</f>
        <v>128.898362957233</v>
      </c>
      <c r="C16" s="25" t="n">
        <f aca="false">Показатели!E9</f>
        <v>322.245907393082</v>
      </c>
      <c r="D16" s="25" t="n">
        <f aca="false">Показатели!F9</f>
        <v>0.266578052514257</v>
      </c>
      <c r="E16" s="25" t="n">
        <f aca="false">Показатели!G9</f>
        <v>13.7479900866404</v>
      </c>
      <c r="F16" s="25" t="n">
        <f aca="false">Показатели!H9</f>
        <v>5.53581336815034</v>
      </c>
      <c r="G16" s="25" t="n">
        <f aca="false">Показатели!I9</f>
        <v>7847.04530058576</v>
      </c>
      <c r="H16" s="25" t="n">
        <f aca="false">Показатели!J9</f>
        <v>11484.370398355</v>
      </c>
      <c r="I16" s="25" t="n">
        <f aca="false">Показатели!K9</f>
        <v>21.6978910978009</v>
      </c>
      <c r="J16" s="25" t="n">
        <f aca="false">Показатели!L9</f>
        <v>0</v>
      </c>
      <c r="K16" s="25" t="n">
        <f aca="false">Показатели!M9</f>
        <v>0.157834135068028</v>
      </c>
      <c r="L16" s="26" t="b">
        <f aca="false">Показатели!B9</f>
        <v>0</v>
      </c>
      <c r="N16" s="15" t="n">
        <f aca="false">IF($L16,IF(B$37&gt;B$36,(B16-B$36)/(B$37-B$36),0)+0.000001,0)</f>
        <v>0</v>
      </c>
      <c r="O16" s="15" t="n">
        <f aca="false">IF($L16,IF(C$37&gt;C$36,(C16-C$36)/(C$37-C$36),0)+0.000001,0)</f>
        <v>0</v>
      </c>
      <c r="P16" s="15" t="n">
        <f aca="false">IF($L16,IF(D$37&gt;D$36,(D16-D$36)/(D$37-D$36),0)+0.000001,0)</f>
        <v>0</v>
      </c>
      <c r="Q16" s="15" t="n">
        <f aca="false">IF($L16,IF(E$37&gt;E$36,(E16-E$36)/(E$37-E$36),0)+0.000001,0)</f>
        <v>0</v>
      </c>
      <c r="R16" s="15" t="n">
        <f aca="false">IF($L16,IF(F$37&gt;F$36,(F16-F$36)/(F$37-F$36),0)+0.000001,0)</f>
        <v>0</v>
      </c>
      <c r="S16" s="15" t="n">
        <f aca="false">IF($L16,IF(G$37&gt;G$36,(G16-G$36)/(G$37-G$36),0)+0.000001,0)</f>
        <v>0</v>
      </c>
      <c r="T16" s="15" t="n">
        <f aca="false">IF($L16,IF(H$37&gt;H$36,(H16-H$36)/(H$37-H$36),0)+0.000001,0)</f>
        <v>0</v>
      </c>
      <c r="U16" s="15" t="n">
        <f aca="false">IF($L16,IF(I$37&gt;I$36,(I16-I$36)/(I$37-I$36),0)+0.000001,0)</f>
        <v>0</v>
      </c>
      <c r="V16" s="15" t="n">
        <f aca="false">IF($L16,IF(J$37&gt;J$36,(J16-J$36)/(J$37-J$36),0)+0.000001,0)</f>
        <v>0</v>
      </c>
      <c r="W16" s="15" t="n">
        <f aca="false">IF($L16,IF(K$37&gt;K$36,(K16-K$36)/(K$37-K$36),0)+0.000001,0)</f>
        <v>0</v>
      </c>
      <c r="Y16" s="15" t="n">
        <f aca="false">IF($L16,N16/N$38*LN(N16/N$38),0)</f>
        <v>0</v>
      </c>
      <c r="Z16" s="15" t="n">
        <f aca="false">IF($L16,O16/O$38*LN(O16/O$38),0)</f>
        <v>0</v>
      </c>
      <c r="AA16" s="15" t="n">
        <f aca="false">IF($L16,P16/P$38*LN(P16/P$38),0)</f>
        <v>0</v>
      </c>
      <c r="AB16" s="15" t="n">
        <f aca="false">IF($L16,Q16/Q$38*LN(Q16/Q$38),0)</f>
        <v>0</v>
      </c>
      <c r="AC16" s="15" t="n">
        <f aca="false">IF($L16,R16/R$38*LN(R16/R$38),0)</f>
        <v>0</v>
      </c>
      <c r="AD16" s="15" t="n">
        <f aca="false">IF($L16,S16/S$38*LN(S16/S$38),0)</f>
        <v>0</v>
      </c>
      <c r="AE16" s="15" t="n">
        <f aca="false">IF($L16,T16/T$38*LN(T16/T$38),0)</f>
        <v>0</v>
      </c>
      <c r="AF16" s="15" t="n">
        <f aca="false">IF($L16,U16/U$38*LN(U16/U$38),0)</f>
        <v>0</v>
      </c>
      <c r="AG16" s="15" t="n">
        <f aca="false">IF($L16,V16/V$38*LN(V16/V$38),0)</f>
        <v>0</v>
      </c>
      <c r="AH16" s="15" t="n">
        <f aca="false">IF($L16,W16/W$38*LN(W16/W$38),0)</f>
        <v>0</v>
      </c>
    </row>
    <row r="17" customFormat="false" ht="15" hidden="false" customHeight="false" outlineLevel="0" collapsed="false">
      <c r="A17" s="17" t="str">
        <f aca="false">Показатели!A9&amp;" Д"</f>
        <v>культиватор 0.14×4.5 Д</v>
      </c>
      <c r="B17" s="25" t="n">
        <f aca="false">Показатели!N9</f>
        <v>331.126753950035</v>
      </c>
      <c r="C17" s="25" t="n">
        <f aca="false">Показатели!O9</f>
        <v>380.79576704254</v>
      </c>
      <c r="D17" s="25" t="n">
        <f aca="false">Показатели!P9</f>
        <v>1</v>
      </c>
      <c r="E17" s="25" t="n">
        <f aca="false">Показатели!Q9</f>
        <v>17.3260504498785</v>
      </c>
      <c r="F17" s="25" t="n">
        <f aca="false">Показатели!R9</f>
        <v>10.9888845534299</v>
      </c>
      <c r="G17" s="25" t="n">
        <f aca="false">Показатели!S9</f>
        <v>8888.51058846786</v>
      </c>
      <c r="H17" s="25" t="n">
        <f aca="false">Показатели!T9</f>
        <v>10220.466439699</v>
      </c>
      <c r="I17" s="25" t="n">
        <f aca="false">Показатели!U9</f>
        <v>24.7192117154901</v>
      </c>
      <c r="J17" s="25" t="n">
        <f aca="false">Показатели!V9</f>
        <v>24.7192117154901</v>
      </c>
      <c r="K17" s="25" t="n">
        <f aca="false">Показатели!W9</f>
        <v>0.70706584449654</v>
      </c>
      <c r="L17" s="26" t="b">
        <f aca="false">Показатели!B9</f>
        <v>0</v>
      </c>
      <c r="N17" s="15" t="n">
        <f aca="false">IF($L17,IF(B$37&gt;B$36,(B17-B$36)/(B$37-B$36),0)+0.000001,0)</f>
        <v>0</v>
      </c>
      <c r="O17" s="15" t="n">
        <f aca="false">IF($L17,IF(C$37&gt;C$36,(C17-C$36)/(C$37-C$36),0)+0.000001,0)</f>
        <v>0</v>
      </c>
      <c r="P17" s="15" t="n">
        <f aca="false">IF($L17,IF(D$37&gt;D$36,(D17-D$36)/(D$37-D$36),0)+0.000001,0)</f>
        <v>0</v>
      </c>
      <c r="Q17" s="15" t="n">
        <f aca="false">IF($L17,IF(E$37&gt;E$36,(E17-E$36)/(E$37-E$36),0)+0.000001,0)</f>
        <v>0</v>
      </c>
      <c r="R17" s="15" t="n">
        <f aca="false">IF($L17,IF(F$37&gt;F$36,(F17-F$36)/(F$37-F$36),0)+0.000001,0)</f>
        <v>0</v>
      </c>
      <c r="S17" s="15" t="n">
        <f aca="false">IF($L17,IF(G$37&gt;G$36,(G17-G$36)/(G$37-G$36),0)+0.000001,0)</f>
        <v>0</v>
      </c>
      <c r="T17" s="15" t="n">
        <f aca="false">IF($L17,IF(H$37&gt;H$36,(H17-H$36)/(H$37-H$36),0)+0.000001,0)</f>
        <v>0</v>
      </c>
      <c r="U17" s="15" t="n">
        <f aca="false">IF($L17,IF(I$37&gt;I$36,(I17-I$36)/(I$37-I$36),0)+0.000001,0)</f>
        <v>0</v>
      </c>
      <c r="V17" s="15" t="n">
        <f aca="false">IF($L17,IF(J$37&gt;J$36,(J17-J$36)/(J$37-J$36),0)+0.000001,0)</f>
        <v>0</v>
      </c>
      <c r="W17" s="15" t="n">
        <f aca="false">IF($L17,IF(K$37&gt;K$36,(K17-K$36)/(K$37-K$36),0)+0.000001,0)</f>
        <v>0</v>
      </c>
      <c r="Y17" s="15" t="n">
        <f aca="false">IF($L17,N17/N$38*LN(N17/N$38),0)</f>
        <v>0</v>
      </c>
      <c r="Z17" s="15" t="n">
        <f aca="false">IF($L17,O17/O$38*LN(O17/O$38),0)</f>
        <v>0</v>
      </c>
      <c r="AA17" s="15" t="n">
        <f aca="false">IF($L17,P17/P$38*LN(P17/P$38),0)</f>
        <v>0</v>
      </c>
      <c r="AB17" s="15" t="n">
        <f aca="false">IF($L17,Q17/Q$38*LN(Q17/Q$38),0)</f>
        <v>0</v>
      </c>
      <c r="AC17" s="15" t="n">
        <f aca="false">IF($L17,R17/R$38*LN(R17/R$38),0)</f>
        <v>0</v>
      </c>
      <c r="AD17" s="15" t="n">
        <f aca="false">IF($L17,S17/S$38*LN(S17/S$38),0)</f>
        <v>0</v>
      </c>
      <c r="AE17" s="15" t="n">
        <f aca="false">IF($L17,T17/T$38*LN(T17/T$38),0)</f>
        <v>0</v>
      </c>
      <c r="AF17" s="15" t="n">
        <f aca="false">IF($L17,U17/U$38*LN(U17/U$38),0)</f>
        <v>0</v>
      </c>
      <c r="AG17" s="15" t="n">
        <f aca="false">IF($L17,V17/V$38*LN(V17/V$38),0)</f>
        <v>0</v>
      </c>
      <c r="AH17" s="15" t="n">
        <f aca="false">IF($L17,W17/W$38*LN(W17/W$38),0)</f>
        <v>0</v>
      </c>
    </row>
    <row r="18" customFormat="false" ht="15" hidden="false" customHeight="false" outlineLevel="0" collapsed="false">
      <c r="A18" s="17" t="str">
        <f aca="false">Показатели!A10&amp;" ЭТ"</f>
        <v>фреза 0.08×1.8 ЭТ</v>
      </c>
      <c r="B18" s="25" t="n">
        <f aca="false">Показатели!D10</f>
        <v>146.523260568949</v>
      </c>
      <c r="C18" s="25" t="n">
        <f aca="false">Показатели!E10</f>
        <v>366.308151422373</v>
      </c>
      <c r="D18" s="25" t="n">
        <f aca="false">Показатели!F10</f>
        <v>0.289101799054867</v>
      </c>
      <c r="E18" s="25" t="n">
        <f aca="false">Показатели!G10</f>
        <v>0</v>
      </c>
      <c r="F18" s="25" t="n">
        <f aca="false">Показатели!H10</f>
        <v>54.7866320062872</v>
      </c>
      <c r="G18" s="25" t="n">
        <f aca="false">Показатели!I10</f>
        <v>14836.8646506909</v>
      </c>
      <c r="H18" s="25" t="n">
        <f aca="false">Показатели!J10</f>
        <v>22658.4204491448</v>
      </c>
      <c r="I18" s="25" t="n">
        <f aca="false">Показатели!K10</f>
        <v>24.6647488624398</v>
      </c>
      <c r="J18" s="25" t="n">
        <f aca="false">Показатели!L10</f>
        <v>0</v>
      </c>
      <c r="K18" s="25" t="n">
        <f aca="false">Показатели!M10</f>
        <v>0.304808352263851</v>
      </c>
      <c r="L18" s="26" t="b">
        <f aca="false">Показатели!B10</f>
        <v>1</v>
      </c>
      <c r="N18" s="15" t="n">
        <f aca="false">IF($L18,IF(B$37&gt;B$36,(B18-B$36)/(B$37-B$36),0)+0.000001,0)</f>
        <v>0.115570663789869</v>
      </c>
      <c r="O18" s="15" t="n">
        <f aca="false">IF($L18,IF(C$37&gt;C$36,(C18-C$36)/(C$37-C$36),0)+0.000001,0)</f>
        <v>0.299202418346233</v>
      </c>
      <c r="P18" s="15" t="n">
        <f aca="false">IF($L18,IF(D$37&gt;D$36,(D18-D$36)/(D$37-D$36),0)+0.000001,0)</f>
        <v>0.033331544518793</v>
      </c>
      <c r="Q18" s="15" t="n">
        <f aca="false">IF($L18,IF(E$37&gt;E$36,(E18-E$36)/(E$37-E$36),0)+0.000001,0)</f>
        <v>1E-006</v>
      </c>
      <c r="R18" s="15" t="n">
        <f aca="false">IF($L18,IF(F$37&gt;F$36,(F18-F$36)/(F$37-F$36),0)+0.000001,0)</f>
        <v>0.929755305810106</v>
      </c>
      <c r="S18" s="15" t="n">
        <f aca="false">IF($L18,IF(G$37&gt;G$36,(G18-G$36)/(G$37-G$36),0)+0.000001,0)</f>
        <v>0.66660994281908</v>
      </c>
      <c r="T18" s="15" t="n">
        <f aca="false">IF($L18,IF(H$37&gt;H$36,(H18-H$36)/(H$37-H$36),0)+0.000001,0)</f>
        <v>0.868358728731787</v>
      </c>
      <c r="U18" s="15" t="n">
        <f aca="false">IF($L18,IF(I$37&gt;I$36,(I18-I$36)/(I$37-I$36),0)+0.000001,0)</f>
        <v>0.314493305792568</v>
      </c>
      <c r="V18" s="15" t="n">
        <f aca="false">IF($L18,IF(J$37&gt;J$36,(J18-J$36)/(J$37-J$36),0)+0.000001,0)</f>
        <v>1E-006</v>
      </c>
      <c r="W18" s="15" t="n">
        <f aca="false">IF($L18,IF(K$37&gt;K$36,(K18-K$36)/(K$37-K$36),0)+0.000001,0)</f>
        <v>0.181687645049995</v>
      </c>
      <c r="Y18" s="15" t="n">
        <f aca="false">IF($L18,N18/N$38*LN(N18/N$38),0)</f>
        <v>-0.0613211164698217</v>
      </c>
      <c r="Z18" s="15" t="n">
        <f aca="false">IF($L18,O18/O$38*LN(O18/O$38),0)</f>
        <v>-0.115424520125221</v>
      </c>
      <c r="AA18" s="15" t="n">
        <f aca="false">IF($L18,P18/P$38*LN(P18/P$38),0)</f>
        <v>-0.0152159647852126</v>
      </c>
      <c r="AB18" s="15" t="n">
        <f aca="false">IF($L18,Q18/Q$38*LN(Q18/Q$38),0)</f>
        <v>-1.86009737402904E-006</v>
      </c>
      <c r="AC18" s="15" t="n">
        <f aca="false">IF($L18,R18/R$38*LN(R18/R$38),0)</f>
        <v>-0.175730487960318</v>
      </c>
      <c r="AD18" s="15" t="n">
        <f aca="false">IF($L18,S18/S$38*LN(S18/S$38),0)</f>
        <v>-0.187042294079605</v>
      </c>
      <c r="AE18" s="15" t="n">
        <f aca="false">IF($L18,T18/T$38*LN(T18/T$38),0)</f>
        <v>-0.216949773996463</v>
      </c>
      <c r="AF18" s="15" t="n">
        <f aca="false">IF($L18,U18/U$38*LN(U18/U$38),0)</f>
        <v>-0.118923854683636</v>
      </c>
      <c r="AG18" s="15" t="n">
        <f aca="false">IF($L18,V18/V$38*LN(V18/V$38),0)</f>
        <v>-2.11132670698034E-006</v>
      </c>
      <c r="AH18" s="15" t="n">
        <f aca="false">IF($L18,W18/W$38*LN(W18/W$38),0)</f>
        <v>-0.0640026627120233</v>
      </c>
    </row>
    <row r="19" customFormat="false" ht="15" hidden="false" customHeight="false" outlineLevel="0" collapsed="false">
      <c r="A19" s="17" t="str">
        <f aca="false">Показатели!A10&amp;" Д"</f>
        <v>фреза 0.08×1.8 Д</v>
      </c>
      <c r="B19" s="25" t="n">
        <f aca="false">Показатели!N10</f>
        <v>505.577090536398</v>
      </c>
      <c r="C19" s="25" t="n">
        <f aca="false">Показатели!O10</f>
        <v>581.413654116857</v>
      </c>
      <c r="D19" s="25" t="n">
        <f aca="false">Показатели!P10</f>
        <v>1</v>
      </c>
      <c r="E19" s="25" t="n">
        <f aca="false">Показатели!Q10</f>
        <v>0</v>
      </c>
      <c r="F19" s="25" t="n">
        <f aca="false">Показатели!R10</f>
        <v>58.7246627477723</v>
      </c>
      <c r="G19" s="25" t="n">
        <f aca="false">Показатели!S10</f>
        <v>17580.0364102313</v>
      </c>
      <c r="H19" s="25" t="n">
        <f aca="false">Показатели!T10</f>
        <v>20549.8752660352</v>
      </c>
      <c r="I19" s="25" t="n">
        <f aca="false">Показатели!U10</f>
        <v>37.7422451988174</v>
      </c>
      <c r="J19" s="25" t="n">
        <f aca="false">Показатели!V10</f>
        <v>37.7422451988174</v>
      </c>
      <c r="K19" s="25" t="n">
        <f aca="false">Показатели!W10</f>
        <v>1</v>
      </c>
      <c r="L19" s="26" t="b">
        <f aca="false">Показатели!B10</f>
        <v>1</v>
      </c>
      <c r="N19" s="15" t="n">
        <f aca="false">IF($L19,IF(B$37&gt;B$36,(B19-B$36)/(B$37-B$36),0)+0.000001,0)</f>
        <v>0.733399190506617</v>
      </c>
      <c r="O19" s="15" t="n">
        <f aca="false">IF($L19,IF(C$37&gt;C$36,(C19-C$36)/(C$37-C$36),0)+0.000001,0)</f>
        <v>0.682503198393528</v>
      </c>
      <c r="P19" s="15" t="n">
        <f aca="false">IF($L19,IF(D$37&gt;D$36,(D19-D$36)/(D$37-D$36),0)+0.000001,0)</f>
        <v>1.000001</v>
      </c>
      <c r="Q19" s="15" t="n">
        <f aca="false">IF($L19,IF(E$37&gt;E$36,(E19-E$36)/(E$37-E$36),0)+0.000001,0)</f>
        <v>1E-006</v>
      </c>
      <c r="R19" s="15" t="n">
        <f aca="false">IF($L19,IF(F$37&gt;F$36,(F19-F$36)/(F$37-F$36),0)+0.000001,0)</f>
        <v>1.000001</v>
      </c>
      <c r="S19" s="15" t="n">
        <f aca="false">IF($L19,IF(G$37&gt;G$36,(G19-G$36)/(G$37-G$36),0)+0.000001,0)</f>
        <v>0.882641087126956</v>
      </c>
      <c r="T19" s="15" t="n">
        <f aca="false">IF($L19,IF(H$37&gt;H$36,(H19-H$36)/(H$37-H$36),0)+0.000001,0)</f>
        <v>0.741288222235855</v>
      </c>
      <c r="U19" s="15" t="n">
        <f aca="false">IF($L19,IF(I$37&gt;I$36,(I19-I$36)/(I$37-I$36),0)+0.000001,0)</f>
        <v>0.678265124816597</v>
      </c>
      <c r="V19" s="15" t="n">
        <f aca="false">IF($L19,IF(J$37&gt;J$36,(J19-J$36)/(J$37-J$36),0)+0.000001,0)</f>
        <v>0.765430865589023</v>
      </c>
      <c r="W19" s="15" t="n">
        <f aca="false">IF($L19,IF(K$37&gt;K$36,(K19-K$36)/(K$37-K$36),0)+0.000001,0)</f>
        <v>1.000001</v>
      </c>
      <c r="Y19" s="15" t="n">
        <f aca="false">IF($L19,N19/N$38*LN(N19/N$38),0)</f>
        <v>-0.219350333094834</v>
      </c>
      <c r="Z19" s="15" t="n">
        <f aca="false">IF($L19,O19/O$38*LN(O19/O$38),0)</f>
        <v>-0.198973738473889</v>
      </c>
      <c r="AA19" s="15" t="n">
        <f aca="false">IF($L19,P19/P$38*LN(P19/P$38),0)</f>
        <v>-0.19653551219816</v>
      </c>
      <c r="AB19" s="15" t="n">
        <f aca="false">IF($L19,Q19/Q$38*LN(Q19/Q$38),0)</f>
        <v>-1.86009737402904E-006</v>
      </c>
      <c r="AC19" s="15" t="n">
        <f aca="false">IF($L19,R19/R$38*LN(R19/R$38),0)</f>
        <v>-0.184002653558498</v>
      </c>
      <c r="AD19" s="15" t="n">
        <f aca="false">IF($L19,S19/S$38*LN(S19/S$38),0)</f>
        <v>-0.221439151502464</v>
      </c>
      <c r="AE19" s="15" t="n">
        <f aca="false">IF($L19,T19/T$38*LN(T19/T$38),0)</f>
        <v>-0.197380825024281</v>
      </c>
      <c r="AF19" s="15" t="n">
        <f aca="false">IF($L19,U19/U$38*LN(U19/U$38),0)</f>
        <v>-0.197342097468032</v>
      </c>
      <c r="AG19" s="15" t="n">
        <f aca="false">IF($L19,V19/V$38*LN(V19/V$38),0)</f>
        <v>-0.232957516178811</v>
      </c>
      <c r="AH19" s="15" t="n">
        <f aca="false">IF($L19,W19/W$38*LN(W19/W$38),0)</f>
        <v>-0.208501502148063</v>
      </c>
    </row>
    <row r="20" customFormat="false" ht="15" hidden="false" customHeight="false" outlineLevel="0" collapsed="false">
      <c r="A20" s="17" t="str">
        <f aca="false">Показатели!A11&amp;" ЭТ"</f>
        <v>фреза 0.08×2.7 ЭТ</v>
      </c>
      <c r="B20" s="25" t="n">
        <f aca="false">Показатели!D11</f>
        <v>134.723059709245</v>
      </c>
      <c r="C20" s="25" t="n">
        <f aca="false">Показатели!E11</f>
        <v>336.807649273111</v>
      </c>
      <c r="D20" s="25" t="n">
        <f aca="false">Показатели!F11</f>
        <v>0.264796902998746</v>
      </c>
      <c r="E20" s="25" t="n">
        <f aca="false">Показатели!G11</f>
        <v>0</v>
      </c>
      <c r="F20" s="25" t="n">
        <f aca="false">Показатели!H11</f>
        <v>39.9324306949852</v>
      </c>
      <c r="G20" s="25" t="n">
        <f aca="false">Показатели!I11</f>
        <v>11179.1921131786</v>
      </c>
      <c r="H20" s="25" t="n">
        <f aca="false">Показатели!J11</f>
        <v>16526.3315778951</v>
      </c>
      <c r="I20" s="25" t="n">
        <f aca="false">Показатели!K11</f>
        <v>22.6783817177228</v>
      </c>
      <c r="J20" s="25" t="n">
        <f aca="false">Показатели!L11</f>
        <v>0</v>
      </c>
      <c r="K20" s="25" t="n">
        <f aca="false">Показатели!M11</f>
        <v>0.235226932766303</v>
      </c>
      <c r="L20" s="26" t="b">
        <f aca="false">Показатели!B11</f>
        <v>1</v>
      </c>
      <c r="N20" s="15" t="n">
        <f aca="false">IF($L20,IF(B$37&gt;B$36,(B20-B$36)/(B$37-B$36),0)+0.000001,0)</f>
        <v>0.0952659069438719</v>
      </c>
      <c r="O20" s="15" t="n">
        <f aca="false">IF($L20,IF(C$37&gt;C$36,(C20-C$36)/(C$37-C$36),0)+0.000001,0)</f>
        <v>0.246634885930947</v>
      </c>
      <c r="P20" s="15" t="n">
        <f aca="false">IF($L20,IF(D$37&gt;D$36,(D20-D$36)/(D$37-D$36),0)+0.000001,0)</f>
        <v>0.000282085953752596</v>
      </c>
      <c r="Q20" s="15" t="n">
        <f aca="false">IF($L20,IF(E$37&gt;E$36,(E20-E$36)/(E$37-E$36),0)+0.000001,0)</f>
        <v>1E-006</v>
      </c>
      <c r="R20" s="15" t="n">
        <f aca="false">IF($L20,IF(F$37&gt;F$36,(F20-F$36)/(F$37-F$36),0)+0.000001,0)</f>
        <v>0.664789450730131</v>
      </c>
      <c r="S20" s="15" t="n">
        <f aca="false">IF($L20,IF(G$37&gt;G$36,(G20-G$36)/(G$37-G$36),0)+0.000001,0)</f>
        <v>0.37855973924208</v>
      </c>
      <c r="T20" s="15" t="n">
        <f aca="false">IF($L20,IF(H$37&gt;H$36,(H20-H$36)/(H$37-H$36),0)+0.000001,0)</f>
        <v>0.498811210855686</v>
      </c>
      <c r="U20" s="15" t="n">
        <f aca="false">IF($L20,IF(I$37&gt;I$36,(I20-I$36)/(I$37-I$36),0)+0.000001,0)</f>
        <v>0.259239274677053</v>
      </c>
      <c r="V20" s="15" t="n">
        <f aca="false">IF($L20,IF(J$37&gt;J$36,(J20-J$36)/(J$37-J$36),0)+0.000001,0)</f>
        <v>1E-006</v>
      </c>
      <c r="W20" s="15" t="n">
        <f aca="false">IF($L20,IF(K$37&gt;K$36,(K20-K$36)/(K$37-K$36),0)+0.000001,0)</f>
        <v>0.0997830292269462</v>
      </c>
      <c r="Y20" s="15" t="n">
        <f aca="false">IF($L20,N20/N$38*LN(N20/N$38),0)</f>
        <v>-0.052853612496994</v>
      </c>
      <c r="Z20" s="15" t="n">
        <f aca="false">IF($L20,O20/O$38*LN(O20/O$38),0)</f>
        <v>-0.10059096754312</v>
      </c>
      <c r="AA20" s="15" t="n">
        <f aca="false">IF($L20,P20/P$38*LN(P20/P$38),0)</f>
        <v>-0.000231661871580921</v>
      </c>
      <c r="AB20" s="15" t="n">
        <f aca="false">IF($L20,Q20/Q$38*LN(Q20/Q$38),0)</f>
        <v>-1.86009737402904E-006</v>
      </c>
      <c r="AC20" s="15" t="n">
        <f aca="false">IF($L20,R20/R$38*LN(R20/R$38),0)</f>
        <v>-0.140973545365043</v>
      </c>
      <c r="AD20" s="15" t="n">
        <f aca="false">IF($L20,S20/S$38*LN(S20/S$38),0)</f>
        <v>-0.12888562027097</v>
      </c>
      <c r="AE20" s="15" t="n">
        <f aca="false">IF($L20,T20/T$38*LN(T20/T$38),0)</f>
        <v>-0.153336124275657</v>
      </c>
      <c r="AF20" s="15" t="n">
        <f aca="false">IF($L20,U20/U$38*LN(U20/U$38),0)</f>
        <v>-0.103712216313531</v>
      </c>
      <c r="AG20" s="15" t="n">
        <f aca="false">IF($L20,V20/V$38*LN(V20/V$38),0)</f>
        <v>-2.11132670698034E-006</v>
      </c>
      <c r="AH20" s="15" t="n">
        <f aca="false">IF($L20,W20/W$38*LN(W20/W$38),0)</f>
        <v>-0.040191221978363</v>
      </c>
    </row>
    <row r="21" customFormat="false" ht="15" hidden="false" customHeight="false" outlineLevel="0" collapsed="false">
      <c r="A21" s="17" t="str">
        <f aca="false">Показатели!A11&amp;" Д"</f>
        <v>фреза 0.08×2.7 Д</v>
      </c>
      <c r="B21" s="25" t="n">
        <f aca="false">Показатели!N11</f>
        <v>392.357277956734</v>
      </c>
      <c r="C21" s="25" t="n">
        <f aca="false">Показатели!O11</f>
        <v>451.210869650244</v>
      </c>
      <c r="D21" s="25" t="n">
        <f aca="false">Показатели!P11</f>
        <v>1</v>
      </c>
      <c r="E21" s="25" t="n">
        <f aca="false">Показатели!Q11</f>
        <v>0</v>
      </c>
      <c r="F21" s="25" t="n">
        <f aca="false">Показатели!R11</f>
        <v>45.2694217930075</v>
      </c>
      <c r="G21" s="25" t="n">
        <f aca="false">Показатели!S11</f>
        <v>12467.8272662798</v>
      </c>
      <c r="H21" s="25" t="n">
        <f aca="false">Показатели!T11</f>
        <v>14498.1321006271</v>
      </c>
      <c r="I21" s="25" t="n">
        <f aca="false">Показатели!U11</f>
        <v>29.2901811956559</v>
      </c>
      <c r="J21" s="25" t="n">
        <f aca="false">Показатели!V11</f>
        <v>29.2901811956559</v>
      </c>
      <c r="K21" s="25" t="n">
        <f aca="false">Показатели!W11</f>
        <v>0.906306201678063</v>
      </c>
      <c r="L21" s="26" t="b">
        <f aca="false">Показатели!B11</f>
        <v>1</v>
      </c>
      <c r="N21" s="15" t="n">
        <f aca="false">IF($L21,IF(B$37&gt;B$36,(B21-B$36)/(B$37-B$36),0)+0.000001,0)</f>
        <v>0.538580408020489</v>
      </c>
      <c r="O21" s="15" t="n">
        <f aca="false">IF($L21,IF(C$37&gt;C$36,(C21-C$36)/(C$37-C$36),0)+0.000001,0)</f>
        <v>0.450492263176936</v>
      </c>
      <c r="P21" s="15" t="n">
        <f aca="false">IF($L21,IF(D$37&gt;D$36,(D21-D$36)/(D$37-D$36),0)+0.000001,0)</f>
        <v>1.000001</v>
      </c>
      <c r="Q21" s="15" t="n">
        <f aca="false">IF($L21,IF(E$37&gt;E$36,(E21-E$36)/(E$37-E$36),0)+0.000001,0)</f>
        <v>1E-006</v>
      </c>
      <c r="R21" s="15" t="n">
        <f aca="false">IF($L21,IF(F$37&gt;F$36,(F21-F$36)/(F$37-F$36),0)+0.000001,0)</f>
        <v>0.759989480688371</v>
      </c>
      <c r="S21" s="15" t="n">
        <f aca="false">IF($L21,IF(G$37&gt;G$36,(G21-G$36)/(G$37-G$36),0)+0.000001,0)</f>
        <v>0.480042749101608</v>
      </c>
      <c r="T21" s="15" t="n">
        <f aca="false">IF($L21,IF(H$37&gt;H$36,(H21-H$36)/(H$37-H$36),0)+0.000001,0)</f>
        <v>0.376582701400106</v>
      </c>
      <c r="U21" s="15" t="n">
        <f aca="false">IF($L21,IF(I$37&gt;I$36,(I21-I$36)/(I$37-I$36),0)+0.000001,0)</f>
        <v>0.443157225119856</v>
      </c>
      <c r="V21" s="15" t="n">
        <f aca="false">IF($L21,IF(J$37&gt;J$36,(J21-J$36)/(J$37-J$36),0)+0.000001,0)</f>
        <v>0.594019170820731</v>
      </c>
      <c r="W21" s="15" t="n">
        <f aca="false">IF($L21,IF(K$37&gt;K$36,(K21-K$36)/(K$37-K$36),0)+0.000001,0)</f>
        <v>0.889713589769299</v>
      </c>
      <c r="Y21" s="15" t="n">
        <f aca="false">IF($L21,N21/N$38*LN(N21/N$38),0)</f>
        <v>-0.181916363238133</v>
      </c>
      <c r="Z21" s="15" t="n">
        <f aca="false">IF($L21,O21/O$38*LN(O21/O$38),0)</f>
        <v>-0.152721032043203</v>
      </c>
      <c r="AA21" s="15" t="n">
        <f aca="false">IF($L21,P21/P$38*LN(P21/P$38),0)</f>
        <v>-0.19653551219816</v>
      </c>
      <c r="AB21" s="15" t="n">
        <f aca="false">IF($L21,Q21/Q$38*LN(Q21/Q$38),0)</f>
        <v>-1.86009737402904E-006</v>
      </c>
      <c r="AC21" s="15" t="n">
        <f aca="false">IF($L21,R21/R$38*LN(R21/R$38),0)</f>
        <v>-0.154172338271518</v>
      </c>
      <c r="AD21" s="15" t="n">
        <f aca="false">IF($L21,S21/S$38*LN(S21/S$38),0)</f>
        <v>-0.151372317153322</v>
      </c>
      <c r="AE21" s="15" t="n">
        <f aca="false">IF($L21,T21/T$38*LN(T21/T$38),0)</f>
        <v>-0.12675410297155</v>
      </c>
      <c r="AF21" s="15" t="n">
        <f aca="false">IF($L21,U21/U$38*LN(U21/U$38),0)</f>
        <v>-0.150334935035047</v>
      </c>
      <c r="AG21" s="15" t="n">
        <f aca="false">IF($L21,V21/V$38*LN(V21/V$38),0)</f>
        <v>-0.200874826474067</v>
      </c>
      <c r="AH21" s="15" t="n">
        <f aca="false">IF($L21,W21/W$38*LN(W21/W$38),0)</f>
        <v>-0.194270736618917</v>
      </c>
    </row>
    <row r="22" customFormat="false" ht="15" hidden="false" customHeight="false" outlineLevel="0" collapsed="false">
      <c r="A22" s="17" t="str">
        <f aca="false">Показатели!A12&amp;" ЭТ"</f>
        <v>фреза 0.08×3.6 ЭТ</v>
      </c>
      <c r="B22" s="25" t="n">
        <f aca="false">Показатели!D12</f>
        <v>120.10217735911</v>
      </c>
      <c r="C22" s="25" t="n">
        <f aca="false">Показатели!E12</f>
        <v>300.255443397774</v>
      </c>
      <c r="D22" s="25" t="n">
        <f aca="false">Показатели!F12</f>
        <v>0.265351728448533</v>
      </c>
      <c r="E22" s="25" t="n">
        <f aca="false">Показатели!G12</f>
        <v>0</v>
      </c>
      <c r="F22" s="25" t="n">
        <f aca="false">Показатели!H12</f>
        <v>27.8913367679578</v>
      </c>
      <c r="G22" s="25" t="n">
        <f aca="false">Показатели!I12</f>
        <v>8802.17792721439</v>
      </c>
      <c r="H22" s="25" t="n">
        <f aca="false">Показатели!J12</f>
        <v>12912.1092250622</v>
      </c>
      <c r="I22" s="25" t="n">
        <f aca="false">Показатели!K12</f>
        <v>20.2171998554501</v>
      </c>
      <c r="J22" s="25" t="n">
        <f aca="false">Показатели!L12</f>
        <v>0</v>
      </c>
      <c r="K22" s="25" t="n">
        <f aca="false">Показатели!M12</f>
        <v>0.200703645285602</v>
      </c>
      <c r="L22" s="26" t="b">
        <f aca="false">Показатели!B12</f>
        <v>1</v>
      </c>
      <c r="N22" s="15" t="n">
        <f aca="false">IF($L22,IF(B$37&gt;B$36,(B22-B$36)/(B$37-B$36),0)+0.000001,0)</f>
        <v>0.0701075673085538</v>
      </c>
      <c r="O22" s="15" t="n">
        <f aca="false">IF($L22,IF(C$37&gt;C$36,(C22-C$36)/(C$37-C$36),0)+0.000001,0)</f>
        <v>0.18150178217969</v>
      </c>
      <c r="P22" s="15" t="n">
        <f aca="false">IF($L22,IF(D$37&gt;D$36,(D22-D$36)/(D$37-D$36),0)+0.000001,0)</f>
        <v>0.00103652985967347</v>
      </c>
      <c r="Q22" s="15" t="n">
        <f aca="false">IF($L22,IF(E$37&gt;E$36,(E22-E$36)/(E$37-E$36),0)+0.000001,0)</f>
        <v>1E-006</v>
      </c>
      <c r="R22" s="15" t="n">
        <f aca="false">IF($L22,IF(F$37&gt;F$36,(F22-F$36)/(F$37-F$36),0)+0.000001,0)</f>
        <v>0.450003163563979</v>
      </c>
      <c r="S22" s="15" t="n">
        <f aca="false">IF($L22,IF(G$37&gt;G$36,(G22-G$36)/(G$37-G$36),0)+0.000001,0)</f>
        <v>0.191364353884243</v>
      </c>
      <c r="T22" s="15" t="n">
        <f aca="false">IF($L22,IF(H$37&gt;H$36,(H22-H$36)/(H$37-H$36),0)+0.000001,0)</f>
        <v>0.281001761647637</v>
      </c>
      <c r="U22" s="15" t="n">
        <f aca="false">IF($L22,IF(I$37&gt;I$36,(I22-I$36)/(I$37-I$36),0)+0.000001,0)</f>
        <v>0.19077750034664</v>
      </c>
      <c r="V22" s="15" t="n">
        <f aca="false">IF($L22,IF(J$37&gt;J$36,(J22-J$36)/(J$37-J$36),0)+0.000001,0)</f>
        <v>1E-006</v>
      </c>
      <c r="W22" s="15" t="n">
        <f aca="false">IF($L22,IF(K$37&gt;K$36,(K22-K$36)/(K$37-K$36),0)+0.000001,0)</f>
        <v>0.05914550532367</v>
      </c>
      <c r="Y22" s="15" t="n">
        <f aca="false">IF($L22,N22/N$38*LN(N22/N$38),0)</f>
        <v>-0.0415891534157879</v>
      </c>
      <c r="Z22" s="15" t="n">
        <f aca="false">IF($L22,O22/O$38*LN(O22/O$38),0)</f>
        <v>-0.0803864677475006</v>
      </c>
      <c r="AA22" s="15" t="n">
        <f aca="false">IF($L22,P22/P$38*LN(P22/P$38),0)</f>
        <v>-0.000748140317335659</v>
      </c>
      <c r="AB22" s="15" t="n">
        <f aca="false">IF($L22,Q22/Q$38*LN(Q22/Q$38),0)</f>
        <v>-1.86009737402904E-006</v>
      </c>
      <c r="AC22" s="15" t="n">
        <f aca="false">IF($L22,R22/R$38*LN(R22/R$38),0)</f>
        <v>-0.10749258296143</v>
      </c>
      <c r="AD22" s="15" t="n">
        <f aca="false">IF($L22,S22/S$38*LN(S22/S$38),0)</f>
        <v>-0.0789669520913482</v>
      </c>
      <c r="AE22" s="15" t="n">
        <f aca="false">IF($L22,T22/T$38*LN(T22/T$38),0)</f>
        <v>-0.103125139208667</v>
      </c>
      <c r="AF22" s="15" t="n">
        <f aca="false">IF($L22,U22/U$38*LN(U22/U$38),0)</f>
        <v>-0.0829599126549707</v>
      </c>
      <c r="AG22" s="15" t="n">
        <f aca="false">IF($L22,V22/V$38*LN(V22/V$38),0)</f>
        <v>-2.11132670698034E-006</v>
      </c>
      <c r="AH22" s="15" t="n">
        <f aca="false">IF($L22,W22/W$38*LN(W22/W$38),0)</f>
        <v>-0.0264305541761504</v>
      </c>
    </row>
    <row r="23" customFormat="false" ht="15" hidden="false" customHeight="false" outlineLevel="0" collapsed="false">
      <c r="A23" s="17" t="str">
        <f aca="false">Показатели!A12&amp;" Д"</f>
        <v>фреза 0.08×3.6 Д</v>
      </c>
      <c r="B23" s="25" t="n">
        <f aca="false">Показатели!N12</f>
        <v>328.60555000946</v>
      </c>
      <c r="C23" s="25" t="n">
        <f aca="false">Показатели!O12</f>
        <v>377.896382510879</v>
      </c>
      <c r="D23" s="25" t="n">
        <f aca="false">Показатели!P12</f>
        <v>1</v>
      </c>
      <c r="E23" s="25" t="n">
        <f aca="false">Показатели!Q12</f>
        <v>0</v>
      </c>
      <c r="F23" s="25" t="n">
        <f aca="false">Показатели!R12</f>
        <v>34.4302348067104</v>
      </c>
      <c r="G23" s="25" t="n">
        <f aca="false">Показатели!S12</f>
        <v>9843.05472069252</v>
      </c>
      <c r="H23" s="25" t="n">
        <f aca="false">Показатели!T12</f>
        <v>11403.5925443114</v>
      </c>
      <c r="I23" s="25" t="n">
        <f aca="false">Показатели!U12</f>
        <v>24.5309992764722</v>
      </c>
      <c r="J23" s="25" t="n">
        <f aca="false">Показатели!V12</f>
        <v>24.5309992764722</v>
      </c>
      <c r="K23" s="25" t="n">
        <f aca="false">Показатели!W12</f>
        <v>0.832544143001728</v>
      </c>
      <c r="L23" s="26" t="b">
        <f aca="false">Показатели!B12</f>
        <v>1</v>
      </c>
      <c r="N23" s="15" t="n">
        <f aca="false">IF($L23,IF(B$37&gt;B$36,(B23-B$36)/(B$37-B$36),0)+0.000001,0)</f>
        <v>0.428881992724703</v>
      </c>
      <c r="O23" s="15" t="n">
        <f aca="false">IF($L23,IF(C$37&gt;C$36,(C23-C$36)/(C$37-C$36),0)+0.000001,0)</f>
        <v>0.319851718154715</v>
      </c>
      <c r="P23" s="15" t="n">
        <f aca="false">IF($L23,IF(D$37&gt;D$36,(D23-D$36)/(D$37-D$36),0)+0.000001,0)</f>
        <v>1.000001</v>
      </c>
      <c r="Q23" s="15" t="n">
        <f aca="false">IF($L23,IF(E$37&gt;E$36,(E23-E$36)/(E$37-E$36),0)+0.000001,0)</f>
        <v>1E-006</v>
      </c>
      <c r="R23" s="15" t="n">
        <f aca="false">IF($L23,IF(F$37&gt;F$36,(F23-F$36)/(F$37-F$36),0)+0.000001,0)</f>
        <v>0.566642535402882</v>
      </c>
      <c r="S23" s="15" t="n">
        <f aca="false">IF($L23,IF(G$37&gt;G$36,(G23-G$36)/(G$37-G$36),0)+0.000001,0)</f>
        <v>0.273335817755054</v>
      </c>
      <c r="T23" s="15" t="n">
        <f aca="false">IF($L23,IF(H$37&gt;H$36,(H23-H$36)/(H$37-H$36),0)+0.000001,0)</f>
        <v>0.19009169710832</v>
      </c>
      <c r="U23" s="15" t="n">
        <f aca="false">IF($L23,IF(I$37&gt;I$36,(I23-I$36)/(I$37-I$36),0)+0.000001,0)</f>
        <v>0.310772843639137</v>
      </c>
      <c r="V23" s="15" t="n">
        <f aca="false">IF($L23,IF(J$37&gt;J$36,(J23-J$36)/(J$37-J$36),0)+0.000001,0)</f>
        <v>0.497500801086101</v>
      </c>
      <c r="W23" s="15" t="n">
        <f aca="false">IF($L23,IF(K$37&gt;K$36,(K23-K$36)/(K$37-K$36),0)+0.000001,0)</f>
        <v>0.802887923925915</v>
      </c>
      <c r="Y23" s="15" t="n">
        <f aca="false">IF($L23,N23/N$38*LN(N23/N$38),0)</f>
        <v>-0.157101584723803</v>
      </c>
      <c r="Z23" s="15" t="n">
        <f aca="false">IF($L23,O23/O$38*LN(O23/O$38),0)</f>
        <v>-0.120951110964285</v>
      </c>
      <c r="AA23" s="15" t="n">
        <f aca="false">IF($L23,P23/P$38*LN(P23/P$38),0)</f>
        <v>-0.19653551219816</v>
      </c>
      <c r="AB23" s="15" t="n">
        <f aca="false">IF($L23,Q23/Q$38*LN(Q23/Q$38),0)</f>
        <v>-1.86009737402904E-006</v>
      </c>
      <c r="AC23" s="15" t="n">
        <f aca="false">IF($L23,R23/R$38*LN(R23/R$38),0)</f>
        <v>-0.126380511453156</v>
      </c>
      <c r="AD23" s="15" t="n">
        <f aca="false">IF($L23,S23/S$38*LN(S23/S$38),0)</f>
        <v>-0.102480570984853</v>
      </c>
      <c r="AE23" s="15" t="n">
        <f aca="false">IF($L23,T23/T$38*LN(T23/T$38),0)</f>
        <v>-0.0774767718436377</v>
      </c>
      <c r="AF23" s="15" t="n">
        <f aca="false">IF($L23,U23/U$38*LN(U23/U$38),0)</f>
        <v>-0.117936554105071</v>
      </c>
      <c r="AG23" s="15" t="n">
        <f aca="false">IF($L23,V23/V$38*LN(V23/V$38),0)</f>
        <v>-0.180001436686751</v>
      </c>
      <c r="AH23" s="15" t="n">
        <f aca="false">IF($L23,W23/W$38*LN(W23/W$38),0)</f>
        <v>-0.182261994801813</v>
      </c>
    </row>
    <row r="24" customFormat="false" ht="15" hidden="false" customHeight="false" outlineLevel="0" collapsed="false">
      <c r="A24" s="17" t="str">
        <f aca="false">Показатели!A13&amp;" ЭТ"</f>
        <v>фреза 0.12×1.8 ЭТ</v>
      </c>
      <c r="B24" s="25" t="n">
        <f aca="false">Показатели!D13</f>
        <v>201.914482974039</v>
      </c>
      <c r="C24" s="25" t="n">
        <f aca="false">Показатели!E13</f>
        <v>504.786207435098</v>
      </c>
      <c r="D24" s="25" t="n">
        <f aca="false">Показатели!F13</f>
        <v>0.26490451078898</v>
      </c>
      <c r="E24" s="25" t="n">
        <f aca="false">Показатели!G13</f>
        <v>0</v>
      </c>
      <c r="F24" s="25" t="n">
        <f aca="false">Показатели!H13</f>
        <v>39.3597810019467</v>
      </c>
      <c r="G24" s="25" t="n">
        <f aca="false">Показатели!I13</f>
        <v>16413.8107445393</v>
      </c>
      <c r="H24" s="25" t="n">
        <f aca="false">Показатели!J13</f>
        <v>24235.3665429933</v>
      </c>
      <c r="I24" s="25" t="n">
        <f aca="false">Показатели!K13</f>
        <v>33.9889379672966</v>
      </c>
      <c r="J24" s="25" t="n">
        <f aca="false">Показатели!L13</f>
        <v>0</v>
      </c>
      <c r="K24" s="25" t="n">
        <f aca="false">Показатели!M13</f>
        <v>0.229169113383141</v>
      </c>
      <c r="L24" s="26" t="b">
        <f aca="false">Показатели!B13</f>
        <v>1</v>
      </c>
      <c r="N24" s="15" t="n">
        <f aca="false">IF($L24,IF(B$37&gt;B$36,(B24-B$36)/(B$37-B$36),0)+0.000001,0)</f>
        <v>0.210883050054288</v>
      </c>
      <c r="O24" s="15" t="n">
        <f aca="false">IF($L24,IF(C$37&gt;C$36,(C24-C$36)/(C$37-C$36),0)+0.000001,0)</f>
        <v>0.545959224770188</v>
      </c>
      <c r="P24" s="15" t="n">
        <f aca="false">IF($L24,IF(D$37&gt;D$36,(D24-D$36)/(D$37-D$36),0)+0.000001,0)</f>
        <v>0.00042840952561245</v>
      </c>
      <c r="Q24" s="15" t="n">
        <f aca="false">IF($L24,IF(E$37&gt;E$36,(E24-E$36)/(E$37-E$36),0)+0.000001,0)</f>
        <v>1E-006</v>
      </c>
      <c r="R24" s="15" t="n">
        <f aca="false">IF($L24,IF(F$37&gt;F$36,(F24-F$36)/(F$37-F$36),0)+0.000001,0)</f>
        <v>0.654574656114294</v>
      </c>
      <c r="S24" s="15" t="n">
        <f aca="false">IF($L24,IF(G$37&gt;G$36,(G24-G$36)/(G$37-G$36),0)+0.000001,0)</f>
        <v>0.790798108573235</v>
      </c>
      <c r="T24" s="15" t="n">
        <f aca="false">IF($L24,IF(H$37&gt;H$36,(H24-H$36)/(H$37-H$36),0)+0.000001,0)</f>
        <v>0.963392660405275</v>
      </c>
      <c r="U24" s="15" t="n">
        <f aca="false">IF($L24,IF(I$37&gt;I$36,(I24-I$36)/(I$37-I$36),0)+0.000001,0)</f>
        <v>0.573860782896163</v>
      </c>
      <c r="V24" s="15" t="n">
        <f aca="false">IF($L24,IF(J$37&gt;J$36,(J24-J$36)/(J$37-J$36),0)+0.000001,0)</f>
        <v>1E-006</v>
      </c>
      <c r="W24" s="15" t="n">
        <f aca="false">IF($L24,IF(K$37&gt;K$36,(K24-K$36)/(K$37-K$36),0)+0.000001,0)</f>
        <v>0.0926523415679968</v>
      </c>
      <c r="Y24" s="15" t="n">
        <f aca="false">IF($L24,N24/N$38*LN(N24/N$38),0)</f>
        <v>-0.0960031677968267</v>
      </c>
      <c r="Z24" s="15" t="n">
        <f aca="false">IF($L24,O24/O$38*LN(O24/O$38),0)</f>
        <v>-0.173093454418865</v>
      </c>
      <c r="AA24" s="15" t="n">
        <f aca="false">IF($L24,P24/P$38*LN(P24/P$38),0)</f>
        <v>-0.000338146538352914</v>
      </c>
      <c r="AB24" s="15" t="n">
        <f aca="false">IF($L24,Q24/Q$38*LN(Q24/Q$38),0)</f>
        <v>-1.86009737402904E-006</v>
      </c>
      <c r="AC24" s="15" t="n">
        <f aca="false">IF($L24,R24/R$38*LN(R24/R$38),0)</f>
        <v>-0.139503901466956</v>
      </c>
      <c r="AD24" s="15" t="n">
        <f aca="false">IF($L24,S24/S$38*LN(S24/S$38),0)</f>
        <v>-0.207591954727656</v>
      </c>
      <c r="AE24" s="15" t="n">
        <f aca="false">IF($L24,T24/T$38*LN(T24/T$38),0)</f>
        <v>-0.230303723357244</v>
      </c>
      <c r="AF24" s="15" t="n">
        <f aca="false">IF($L24,U24/U$38*LN(U24/U$38),0)</f>
        <v>-0.177847602873819</v>
      </c>
      <c r="AG24" s="15" t="n">
        <f aca="false">IF($L24,V24/V$38*LN(V24/V$38),0)</f>
        <v>-2.11132670698034E-006</v>
      </c>
      <c r="AH24" s="15" t="n">
        <f aca="false">IF($L24,W24/W$38*LN(W24/W$38),0)</f>
        <v>-0.037898168854952</v>
      </c>
    </row>
    <row r="25" customFormat="false" ht="15" hidden="false" customHeight="false" outlineLevel="0" collapsed="false">
      <c r="A25" s="17" t="str">
        <f aca="false">Показатели!A13&amp;" Д"</f>
        <v>фреза 0.12×1.8 Д</v>
      </c>
      <c r="B25" s="25" t="n">
        <f aca="false">Показатели!N13</f>
        <v>583.916633795173</v>
      </c>
      <c r="C25" s="25" t="n">
        <f aca="false">Показатели!O13</f>
        <v>671.504128864448</v>
      </c>
      <c r="D25" s="25" t="n">
        <f aca="false">Показатели!P13</f>
        <v>1</v>
      </c>
      <c r="E25" s="25" t="n">
        <f aca="false">Показатели!Q13</f>
        <v>0</v>
      </c>
      <c r="F25" s="25" t="n">
        <f aca="false">Показатели!R13</f>
        <v>44.3784365722383</v>
      </c>
      <c r="G25" s="25" t="n">
        <f aca="false">Показатели!S13</f>
        <v>18333.507938953</v>
      </c>
      <c r="H25" s="25" t="n">
        <f aca="false">Показатели!T13</f>
        <v>21303.346794757</v>
      </c>
      <c r="I25" s="25" t="n">
        <f aca="false">Показатели!U13</f>
        <v>43.5904339434836</v>
      </c>
      <c r="J25" s="25" t="n">
        <f aca="false">Показатели!V13</f>
        <v>43.5904339434836</v>
      </c>
      <c r="K25" s="25" t="n">
        <f aca="false">Показатели!W13</f>
        <v>0.890944262467187</v>
      </c>
      <c r="L25" s="26" t="b">
        <f aca="false">Показатели!B13</f>
        <v>1</v>
      </c>
      <c r="N25" s="15" t="n">
        <f aca="false">IF($L25,IF(B$37&gt;B$36,(B25-B$36)/(B$37-B$36),0)+0.000001,0)</f>
        <v>0.868199046560568</v>
      </c>
      <c r="O25" s="15" t="n">
        <f aca="false">IF($L25,IF(C$37&gt;C$36,(C25-C$36)/(C$37-C$36),0)+0.000001,0)</f>
        <v>0.843037209904281</v>
      </c>
      <c r="P25" s="15" t="n">
        <f aca="false">IF($L25,IF(D$37&gt;D$36,(D25-D$36)/(D$37-D$36),0)+0.000001,0)</f>
        <v>1.000001</v>
      </c>
      <c r="Q25" s="15" t="n">
        <f aca="false">IF($L25,IF(E$37&gt;E$36,(E25-E$36)/(E$37-E$36),0)+0.000001,0)</f>
        <v>1E-006</v>
      </c>
      <c r="R25" s="15" t="n">
        <f aca="false">IF($L25,IF(F$37&gt;F$36,(F25-F$36)/(F$37-F$36),0)+0.000001,0)</f>
        <v>0.744096289534088</v>
      </c>
      <c r="S25" s="15" t="n">
        <f aca="false">IF($L25,IF(G$37&gt;G$36,(G25-G$36)/(G$37-G$36),0)+0.000001,0)</f>
        <v>0.941978719189937</v>
      </c>
      <c r="T25" s="15" t="n">
        <f aca="false">IF($L25,IF(H$37&gt;H$36,(H25-H$36)/(H$37-H$36),0)+0.000001,0)</f>
        <v>0.78669583766278</v>
      </c>
      <c r="U25" s="15" t="n">
        <f aca="false">IF($L25,IF(I$37&gt;I$36,(I25-I$36)/(I$37-I$36),0)+0.000001,0)</f>
        <v>0.840942001408431</v>
      </c>
      <c r="V25" s="15" t="n">
        <f aca="false">IF($L25,IF(J$37&gt;J$36,(J25-J$36)/(J$37-J$36),0)+0.000001,0)</f>
        <v>0.884034788095185</v>
      </c>
      <c r="W25" s="15" t="n">
        <f aca="false">IF($L25,IF(K$37&gt;K$36,(K25-K$36)/(K$37-K$36),0)+0.000001,0)</f>
        <v>0.871630978945181</v>
      </c>
      <c r="Y25" s="15" t="n">
        <f aca="false">IF($L25,N25/N$38*LN(N25/N$38),0)</f>
        <v>-0.241313663619512</v>
      </c>
      <c r="Z25" s="15" t="n">
        <f aca="false">IF($L25,O25/O$38*LN(O25/O$38),0)</f>
        <v>-0.225423745342577</v>
      </c>
      <c r="AA25" s="15" t="n">
        <f aca="false">IF($L25,P25/P$38*LN(P25/P$38),0)</f>
        <v>-0.19653551219816</v>
      </c>
      <c r="AB25" s="15" t="n">
        <f aca="false">IF($L25,Q25/Q$38*LN(Q25/Q$38),0)</f>
        <v>-1.86009737402904E-006</v>
      </c>
      <c r="AC25" s="15" t="n">
        <f aca="false">IF($L25,R25/R$38*LN(R25/R$38),0)</f>
        <v>-0.152028812801389</v>
      </c>
      <c r="AD25" s="15" t="n">
        <f aca="false">IF($L25,S25/S$38*LN(S25/S$38),0)</f>
        <v>-0.22984037796944</v>
      </c>
      <c r="AE25" s="15" t="n">
        <f aca="false">IF($L25,T25/T$38*LN(T25/T$38),0)</f>
        <v>-0.204614904220771</v>
      </c>
      <c r="AF25" s="15" t="n">
        <f aca="false">IF($L25,U25/U$38*LN(U25/U$38),0)</f>
        <v>-0.224163011123138</v>
      </c>
      <c r="AG25" s="15" t="n">
        <f aca="false">IF($L25,V25/V$38*LN(V25/V$38),0)</f>
        <v>-0.252068966138447</v>
      </c>
      <c r="AH25" s="15" t="n">
        <f aca="false">IF($L25,W25/W$38*LN(W25/W$38),0)</f>
        <v>-0.191831081304318</v>
      </c>
    </row>
    <row r="26" customFormat="false" ht="15" hidden="false" customHeight="false" outlineLevel="0" collapsed="false">
      <c r="A26" s="17" t="str">
        <f aca="false">Показатели!A14&amp;" ЭТ"</f>
        <v>фреза 0.12×2.7 ЭТ</v>
      </c>
      <c r="B26" s="25" t="n">
        <f aca="false">Показатели!D14</f>
        <v>176.904470081723</v>
      </c>
      <c r="C26" s="25" t="n">
        <f aca="false">Показатели!E14</f>
        <v>442.261175204307</v>
      </c>
      <c r="D26" s="25" t="n">
        <f aca="false">Показатели!F14</f>
        <v>0.265922580128949</v>
      </c>
      <c r="E26" s="25" t="n">
        <f aca="false">Показатели!G14</f>
        <v>0</v>
      </c>
      <c r="F26" s="25" t="n">
        <f aca="false">Показатели!H14</f>
        <v>18.9019847266803</v>
      </c>
      <c r="G26" s="25" t="n">
        <f aca="false">Показатели!I14</f>
        <v>11713.3728073123</v>
      </c>
      <c r="H26" s="25" t="n">
        <f aca="false">Показатели!J14</f>
        <v>17130.6592996102</v>
      </c>
      <c r="I26" s="25" t="n">
        <f aca="false">Показатели!K14</f>
        <v>29.7789191304233</v>
      </c>
      <c r="J26" s="25" t="n">
        <f aca="false">Показатели!L14</f>
        <v>0</v>
      </c>
      <c r="K26" s="25" t="n">
        <f aca="false">Показатели!M14</f>
        <v>0.176057335742699</v>
      </c>
      <c r="L26" s="26" t="b">
        <f aca="false">Показатели!B14</f>
        <v>1</v>
      </c>
      <c r="N26" s="15" t="n">
        <f aca="false">IF($L26,IF(B$37&gt;B$36,(B26-B$36)/(B$37-B$36),0)+0.000001,0)</f>
        <v>0.167848000352054</v>
      </c>
      <c r="O26" s="15" t="n">
        <f aca="false">IF($L26,IF(C$37&gt;C$36,(C26-C$36)/(C$37-C$36),0)+0.000001,0)</f>
        <v>0.4345446243702</v>
      </c>
      <c r="P26" s="15" t="n">
        <f aca="false">IF($L26,IF(D$37&gt;D$36,(D26-D$36)/(D$37-D$36),0)+0.000001,0)</f>
        <v>0.00181276601041144</v>
      </c>
      <c r="Q26" s="15" t="n">
        <f aca="false">IF($L26,IF(E$37&gt;E$36,(E26-E$36)/(E$37-E$36),0)+0.000001,0)</f>
        <v>1E-006</v>
      </c>
      <c r="R26" s="15" t="n">
        <f aca="false">IF($L26,IF(F$37&gt;F$36,(F26-F$36)/(F$37-F$36),0)+0.000001,0)</f>
        <v>0.28965315212178</v>
      </c>
      <c r="S26" s="15" t="n">
        <f aca="false">IF($L26,IF(G$37&gt;G$36,(G26-G$36)/(G$37-G$36),0)+0.000001,0)</f>
        <v>0.42062770899991</v>
      </c>
      <c r="T26" s="15" t="n">
        <f aca="false">IF($L26,IF(H$37&gt;H$36,(H26-H$36)/(H$37-H$36),0)+0.000001,0)</f>
        <v>0.535230743291138</v>
      </c>
      <c r="U26" s="15" t="n">
        <f aca="false">IF($L26,IF(I$37&gt;I$36,(I26-I$36)/(I$37-I$36),0)+0.000001,0)</f>
        <v>0.456752265254704</v>
      </c>
      <c r="V26" s="15" t="n">
        <f aca="false">IF($L26,IF(J$37&gt;J$36,(J26-J$36)/(J$37-J$36),0)+0.000001,0)</f>
        <v>1E-006</v>
      </c>
      <c r="W26" s="15" t="n">
        <f aca="false">IF($L26,IF(K$37&gt;K$36,(K26-K$36)/(K$37-K$36),0)+0.000001,0)</f>
        <v>0.03013421855855</v>
      </c>
      <c r="Y26" s="15" t="n">
        <f aca="false">IF($L26,N26/N$38*LN(N26/N$38),0)</f>
        <v>-0.0812115485805352</v>
      </c>
      <c r="Z26" s="15" t="n">
        <f aca="false">IF($L26,O26/O$38*LN(O26/O$38),0)</f>
        <v>-0.149104449869521</v>
      </c>
      <c r="AA26" s="15" t="n">
        <f aca="false">IF($L26,P26/P$38*LN(P26/P$38),0)</f>
        <v>-0.00123095841421431</v>
      </c>
      <c r="AB26" s="15" t="n">
        <f aca="false">IF($L26,Q26/Q$38*LN(Q26/Q$38),0)</f>
        <v>-1.86009737402904E-006</v>
      </c>
      <c r="AC26" s="15" t="n">
        <f aca="false">IF($L26,R26/R$38*LN(R26/R$38),0)</f>
        <v>-0.0779584345852306</v>
      </c>
      <c r="AD26" s="15" t="n">
        <f aca="false">IF($L26,S26/S$38*LN(S26/S$38),0)</f>
        <v>-0.138517954144884</v>
      </c>
      <c r="AE26" s="15" t="n">
        <f aca="false">IF($L26,T26/T$38*LN(T26/T$38),0)</f>
        <v>-0.160615136516689</v>
      </c>
      <c r="AF26" s="15" t="n">
        <f aca="false">IF($L26,U26/U$38*LN(U26/U$38),0)</f>
        <v>-0.153381119683532</v>
      </c>
      <c r="AG26" s="15" t="n">
        <f aca="false">IF($L26,V26/V$38*LN(V26/V$38),0)</f>
        <v>-2.11132670698034E-006</v>
      </c>
      <c r="AH26" s="15" t="n">
        <f aca="false">IF($L26,W26/W$38*LN(W26/W$38),0)</f>
        <v>-0.0151791599387182</v>
      </c>
    </row>
    <row r="27" customFormat="false" ht="15" hidden="false" customHeight="false" outlineLevel="0" collapsed="false">
      <c r="A27" s="17" t="str">
        <f aca="false">Показатели!A14&amp;" Д"</f>
        <v>фреза 0.12×2.7 Д</v>
      </c>
      <c r="B27" s="25" t="n">
        <f aca="false">Показатели!N14</f>
        <v>463.55608304709</v>
      </c>
      <c r="C27" s="25" t="n">
        <f aca="false">Показатели!O14</f>
        <v>533.089495504153</v>
      </c>
      <c r="D27" s="25" t="n">
        <f aca="false">Показатели!P14</f>
        <v>1</v>
      </c>
      <c r="E27" s="25" t="n">
        <f aca="false">Показатели!Q14</f>
        <v>0</v>
      </c>
      <c r="F27" s="25" t="n">
        <f aca="false">Показатели!R14</f>
        <v>25.7121230060572</v>
      </c>
      <c r="G27" s="25" t="n">
        <f aca="false">Показатели!S14</f>
        <v>13152.6699253224</v>
      </c>
      <c r="H27" s="25" t="n">
        <f aca="false">Показатели!T14</f>
        <v>15182.9747596696</v>
      </c>
      <c r="I27" s="25" t="n">
        <f aca="false">Показатели!U14</f>
        <v>34.6053009071365</v>
      </c>
      <c r="J27" s="25" t="n">
        <f aca="false">Показатели!V14</f>
        <v>34.6053009071365</v>
      </c>
      <c r="K27" s="25" t="n">
        <f aca="false">Показатели!W14</f>
        <v>0.768723254713787</v>
      </c>
      <c r="L27" s="26" t="b">
        <f aca="false">Показатели!B14</f>
        <v>1</v>
      </c>
      <c r="N27" s="15" t="n">
        <f aca="false">IF($L27,IF(B$37&gt;B$36,(B27-B$36)/(B$37-B$36),0)+0.000001,0)</f>
        <v>0.661093104395166</v>
      </c>
      <c r="O27" s="15" t="n">
        <f aca="false">IF($L27,IF(C$37&gt;C$36,(C27-C$36)/(C$37-C$36),0)+0.000001,0)</f>
        <v>0.596393417568038</v>
      </c>
      <c r="P27" s="15" t="n">
        <f aca="false">IF($L27,IF(D$37&gt;D$36,(D27-D$36)/(D$37-D$36),0)+0.000001,0)</f>
        <v>1.000001</v>
      </c>
      <c r="Q27" s="15" t="n">
        <f aca="false">IF($L27,IF(E$37&gt;E$36,(E27-E$36)/(E$37-E$36),0)+0.000001,0)</f>
        <v>1E-006</v>
      </c>
      <c r="R27" s="15" t="n">
        <f aca="false">IF($L27,IF(F$37&gt;F$36,(F27-F$36)/(F$37-F$36),0)+0.000001,0)</f>
        <v>0.411130845509107</v>
      </c>
      <c r="S27" s="15" t="n">
        <f aca="false">IF($L27,IF(G$37&gt;G$36,(G27-G$36)/(G$37-G$36),0)+0.000001,0)</f>
        <v>0.533975698356161</v>
      </c>
      <c r="T27" s="15" t="n">
        <f aca="false">IF($L27,IF(H$37&gt;H$36,(H27-H$36)/(H$37-H$36),0)+0.000001,0)</f>
        <v>0.417854429533633</v>
      </c>
      <c r="U27" s="15" t="n">
        <f aca="false">IF($L27,IF(I$37&gt;I$36,(I27-I$36)/(I$37-I$36),0)+0.000001,0)</f>
        <v>0.591005920010893</v>
      </c>
      <c r="V27" s="15" t="n">
        <f aca="false">IF($L27,IF(J$37&gt;J$36,(J27-J$36)/(J$37-J$36),0)+0.000001,0)</f>
        <v>0.70181221134911</v>
      </c>
      <c r="W27" s="15" t="n">
        <f aca="false">IF($L27,IF(K$37&gt;K$36,(K27-K$36)/(K$37-K$36),0)+0.000001,0)</f>
        <v>0.727764056455896</v>
      </c>
      <c r="Y27" s="15" t="n">
        <f aca="false">IF($L27,N27/N$38*LN(N27/N$38),0)</f>
        <v>-0.206321529720728</v>
      </c>
      <c r="Z27" s="15" t="n">
        <f aca="false">IF($L27,O27/O$38*LN(O27/O$38),0)</f>
        <v>-0.183061470689136</v>
      </c>
      <c r="AA27" s="15" t="n">
        <f aca="false">IF($L27,P27/P$38*LN(P27/P$38),0)</f>
        <v>-0.19653551219816</v>
      </c>
      <c r="AB27" s="15" t="n">
        <f aca="false">IF($L27,Q27/Q$38*LN(Q27/Q$38),0)</f>
        <v>-1.86009737402904E-006</v>
      </c>
      <c r="AC27" s="15" t="n">
        <f aca="false">IF($L27,R27/R$38*LN(R27/R$38),0)</f>
        <v>-0.10075935723099</v>
      </c>
      <c r="AD27" s="15" t="n">
        <f aca="false">IF($L27,S27/S$38*LN(S27/S$38),0)</f>
        <v>-0.162362678844133</v>
      </c>
      <c r="AE27" s="15" t="n">
        <f aca="false">IF($L27,T27/T$38*LN(T27/T$38),0)</f>
        <v>-0.136133585435043</v>
      </c>
      <c r="AF27" s="15" t="n">
        <f aca="false">IF($L27,U27/U$38*LN(U27/U$38),0)</f>
        <v>-0.181187278314701</v>
      </c>
      <c r="AG27" s="15" t="n">
        <f aca="false">IF($L27,V27/V$38*LN(V27/V$38),0)</f>
        <v>-0.221717559796532</v>
      </c>
      <c r="AH27" s="15" t="n">
        <f aca="false">IF($L27,W27/W$38*LN(W27/W$38),0)</f>
        <v>-0.171235046367665</v>
      </c>
    </row>
    <row r="28" customFormat="false" ht="15" hidden="false" customHeight="false" outlineLevel="0" collapsed="false">
      <c r="A28" s="17" t="str">
        <f aca="false">Показатели!A15&amp;" ЭТ"</f>
        <v>фреза 0.12×3.6 ЭТ</v>
      </c>
      <c r="B28" s="25" t="n">
        <f aca="false">Показатели!D15</f>
        <v>158.051835923634</v>
      </c>
      <c r="C28" s="25" t="n">
        <f aca="false">Показатели!E15</f>
        <v>395.129589809085</v>
      </c>
      <c r="D28" s="25" t="n">
        <f aca="false">Показатели!F15</f>
        <v>0.266675841438333</v>
      </c>
      <c r="E28" s="25" t="n">
        <f aca="false">Показатели!G15</f>
        <v>0</v>
      </c>
      <c r="F28" s="25" t="n">
        <f aca="false">Показатели!H15</f>
        <v>2.66384952782565</v>
      </c>
      <c r="G28" s="25" t="n">
        <f aca="false">Показатели!I15</f>
        <v>9282.76818664679</v>
      </c>
      <c r="H28" s="25" t="n">
        <f aca="false">Показатели!J15</f>
        <v>13592.5123716846</v>
      </c>
      <c r="I28" s="25" t="n">
        <f aca="false">Показатели!K15</f>
        <v>26.6053923804784</v>
      </c>
      <c r="J28" s="25" t="n">
        <f aca="false">Показатели!L15</f>
        <v>0</v>
      </c>
      <c r="K28" s="25" t="n">
        <f aca="false">Показатели!M15</f>
        <v>0.150457897905598</v>
      </c>
      <c r="L28" s="26" t="b">
        <f aca="false">Показатели!B15</f>
        <v>1</v>
      </c>
      <c r="N28" s="15" t="n">
        <f aca="false">IF($L28,IF(B$37&gt;B$36,(B28-B$36)/(B$37-B$36),0)+0.000001,0)</f>
        <v>0.135408031148333</v>
      </c>
      <c r="O28" s="15" t="n">
        <f aca="false">IF($L28,IF(C$37&gt;C$36,(C28-C$36)/(C$37-C$36),0)+0.000001,0)</f>
        <v>0.350559913516416</v>
      </c>
      <c r="P28" s="15" t="n">
        <f aca="false">IF($L28,IF(D$37&gt;D$36,(D28-D$36)/(D$37-D$36),0)+0.000001,0)</f>
        <v>0.00283704022971437</v>
      </c>
      <c r="Q28" s="15" t="n">
        <f aca="false">IF($L28,IF(E$37&gt;E$36,(E28-E$36)/(E$37-E$36),0)+0.000001,0)</f>
        <v>1E-006</v>
      </c>
      <c r="R28" s="15" t="n">
        <f aca="false">IF($L28,IF(F$37&gt;F$36,(F28-F$36)/(F$37-F$36),0)+0.000001,0)</f>
        <v>1E-006</v>
      </c>
      <c r="S28" s="15" t="n">
        <f aca="false">IF($L28,IF(G$37&gt;G$36,(G28-G$36)/(G$37-G$36),0)+0.000001,0)</f>
        <v>0.229211952499722</v>
      </c>
      <c r="T28" s="15" t="n">
        <f aca="false">IF($L28,IF(H$37&gt;H$36,(H28-H$36)/(H$37-H$36),0)+0.000001,0)</f>
        <v>0.322005944605305</v>
      </c>
      <c r="U28" s="15" t="n">
        <f aca="false">IF($L28,IF(I$37&gt;I$36,(I28-I$36)/(I$37-I$36),0)+0.000001,0)</f>
        <v>0.368475459904923</v>
      </c>
      <c r="V28" s="15" t="n">
        <f aca="false">IF($L28,IF(J$37&gt;J$36,(J28-J$36)/(J$37-J$36),0)+0.000001,0)</f>
        <v>1E-006</v>
      </c>
      <c r="W28" s="15" t="n">
        <f aca="false">IF($L28,IF(K$37&gt;K$36,(K28-K$36)/(K$37-K$36),0)+0.000001,0)</f>
        <v>1E-006</v>
      </c>
      <c r="Y28" s="15" t="n">
        <f aca="false">IF($L28,N28/N$38*LN(N28/N$38),0)</f>
        <v>-0.0691592871981136</v>
      </c>
      <c r="Z28" s="15" t="n">
        <f aca="false">IF($L28,O28/O$38*LN(O28/O$38),0)</f>
        <v>-0.128890762152608</v>
      </c>
      <c r="AA28" s="15" t="n">
        <f aca="false">IF($L28,P28/P$38*LN(P28/P$38),0)</f>
        <v>-0.00182936571991556</v>
      </c>
      <c r="AB28" s="15" t="n">
        <f aca="false">IF($L28,Q28/Q$38*LN(Q28/Q$38),0)</f>
        <v>-1.86009737402904E-006</v>
      </c>
      <c r="AC28" s="15" t="n">
        <f aca="false">IF($L28,R28/R$38*LN(R28/R$38),0)</f>
        <v>-1.13332177722042E-006</v>
      </c>
      <c r="AD28" s="15" t="n">
        <f aca="false">IF($L28,S28/S$38*LN(S28/S$38),0)</f>
        <v>-0.0902076009996619</v>
      </c>
      <c r="AE28" s="15" t="n">
        <f aca="false">IF($L28,T28/T$38*LN(T28/T$38),0)</f>
        <v>-0.113619053727737</v>
      </c>
      <c r="AF28" s="15" t="n">
        <f aca="false">IF($L28,U28/U$38*LN(U28/U$38),0)</f>
        <v>-0.132714884762519</v>
      </c>
      <c r="AG28" s="15" t="n">
        <f aca="false">IF($L28,V28/V$38*LN(V28/V$38),0)</f>
        <v>-2.11132670698034E-006</v>
      </c>
      <c r="AH28" s="15" t="n">
        <f aca="false">IF($L28,W28/W$38*LN(W28/W$38),0)</f>
        <v>-1.37311140322936E-006</v>
      </c>
    </row>
    <row r="29" customFormat="false" ht="15" hidden="false" customHeight="false" outlineLevel="0" collapsed="false">
      <c r="A29" s="17" t="str">
        <f aca="false">Показатели!A15&amp;" Д"</f>
        <v>фреза 0.12×3.6 Д</v>
      </c>
      <c r="B29" s="25" t="n">
        <f aca="false">Показатели!N15</f>
        <v>392.661604667186</v>
      </c>
      <c r="C29" s="25" t="n">
        <f aca="false">Показатели!O15</f>
        <v>451.560845367264</v>
      </c>
      <c r="D29" s="25" t="n">
        <f aca="false">Показатели!P15</f>
        <v>1</v>
      </c>
      <c r="E29" s="25" t="n">
        <f aca="false">Показатели!Q15</f>
        <v>0</v>
      </c>
      <c r="F29" s="25" t="n">
        <f aca="false">Показатели!R15</f>
        <v>10.9698903925779</v>
      </c>
      <c r="G29" s="25" t="n">
        <f aca="false">Показатели!S15</f>
        <v>10459.1958859297</v>
      </c>
      <c r="H29" s="25" t="n">
        <f aca="false">Показатели!T15</f>
        <v>12019.7337095486</v>
      </c>
      <c r="I29" s="25" t="n">
        <f aca="false">Показатели!U15</f>
        <v>29.3128997356005</v>
      </c>
      <c r="J29" s="25" t="n">
        <f aca="false">Показатели!V15</f>
        <v>29.3128997356005</v>
      </c>
      <c r="K29" s="25" t="n">
        <f aca="false">Показатели!W15</f>
        <v>0.698752435656755</v>
      </c>
      <c r="L29" s="26" t="b">
        <f aca="false">Показатели!B15</f>
        <v>1</v>
      </c>
      <c r="N29" s="15" t="n">
        <f aca="false">IF($L29,IF(B$37&gt;B$36,(B29-B$36)/(B$37-B$36),0)+0.000001,0)</f>
        <v>0.539104066891293</v>
      </c>
      <c r="O29" s="15" t="n">
        <f aca="false">IF($L29,IF(C$37&gt;C$36,(C29-C$36)/(C$37-C$36),0)+0.000001,0)</f>
        <v>0.451115891878437</v>
      </c>
      <c r="P29" s="15" t="n">
        <f aca="false">IF($L29,IF(D$37&gt;D$36,(D29-D$36)/(D$37-D$36),0)+0.000001,0)</f>
        <v>1.000001</v>
      </c>
      <c r="Q29" s="15" t="n">
        <f aca="false">IF($L29,IF(E$37&gt;E$36,(E29-E$36)/(E$37-E$36),0)+0.000001,0)</f>
        <v>1E-006</v>
      </c>
      <c r="R29" s="15" t="n">
        <f aca="false">IF($L29,IF(F$37&gt;F$36,(F29-F$36)/(F$37-F$36),0)+0.000001,0)</f>
        <v>0.148162262523336</v>
      </c>
      <c r="S29" s="15" t="n">
        <f aca="false">IF($L29,IF(G$37&gt;G$36,(G29-G$36)/(G$37-G$36),0)+0.000001,0)</f>
        <v>0.321858364882645</v>
      </c>
      <c r="T29" s="15" t="n">
        <f aca="false">IF($L29,IF(H$37&gt;H$36,(H29-H$36)/(H$37-H$36),0)+0.000001,0)</f>
        <v>0.227223161288858</v>
      </c>
      <c r="U29" s="15" t="n">
        <f aca="false">IF($L29,IF(I$37&gt;I$36,(I29-I$36)/(I$37-I$36),0)+0.000001,0)</f>
        <v>0.443789178239064</v>
      </c>
      <c r="V29" s="15" t="n">
        <f aca="false">IF($L29,IF(J$37&gt;J$36,(J29-J$36)/(J$37-J$36),0)+0.000001,0)</f>
        <v>0.594479913123807</v>
      </c>
      <c r="W29" s="15" t="n">
        <f aca="false">IF($L29,IF(K$37&gt;K$36,(K29-K$36)/(K$37-K$36),0)+0.000001,0)</f>
        <v>0.645401076581761</v>
      </c>
      <c r="Y29" s="15" t="n">
        <f aca="false">IF($L29,N29/N$38*LN(N29/N$38),0)</f>
        <v>-0.182027599853022</v>
      </c>
      <c r="Z29" s="15" t="n">
        <f aca="false">IF($L29,O29/O$38*LN(O29/O$38),0)</f>
        <v>-0.152861131746382</v>
      </c>
      <c r="AA29" s="15" t="n">
        <f aca="false">IF($L29,P29/P$38*LN(P29/P$38),0)</f>
        <v>-0.19653551219816</v>
      </c>
      <c r="AB29" s="15" t="n">
        <f aca="false">IF($L29,Q29/Q$38*LN(Q29/Q$38),0)</f>
        <v>-1.86009737402904E-006</v>
      </c>
      <c r="AC29" s="15" t="n">
        <f aca="false">IF($L29,R29/R$38*LN(R29/R$38),0)</f>
        <v>-0.0467019793100824</v>
      </c>
      <c r="AD29" s="15" t="n">
        <f aca="false">IF($L29,S29/S$38*LN(S29/S$38),0)</f>
        <v>-0.115107351130745</v>
      </c>
      <c r="AE29" s="15" t="n">
        <f aca="false">IF($L29,T29/T$38*LN(T29/T$38),0)</f>
        <v>-0.0884008882821394</v>
      </c>
      <c r="AF29" s="15" t="n">
        <f aca="false">IF($L29,U29/U$38*LN(U29/U$38),0)</f>
        <v>-0.150477571694026</v>
      </c>
      <c r="AG29" s="15" t="n">
        <f aca="false">IF($L29,V29/V$38*LN(V29/V$38),0)</f>
        <v>-0.200969157176953</v>
      </c>
      <c r="AH29" s="15" t="n">
        <f aca="false">IF($L29,W29/W$38*LN(W29/W$38),0)</f>
        <v>-0.158390300871128</v>
      </c>
    </row>
    <row r="30" customFormat="false" ht="15" hidden="false" customHeight="false" outlineLevel="0" collapsed="false">
      <c r="A30" s="17" t="str">
        <f aca="false">Показатели!A16&amp;" ЭТ"</f>
        <v>фреза 0.16×1.8 ЭТ</v>
      </c>
      <c r="B30" s="25" t="n">
        <f aca="false">Показатели!D16</f>
        <v>247.294211094346</v>
      </c>
      <c r="C30" s="25" t="n">
        <f aca="false">Показатели!E16</f>
        <v>618.235527735865</v>
      </c>
      <c r="D30" s="25" t="n">
        <f aca="false">Показатели!F16</f>
        <v>0.265732163915183</v>
      </c>
      <c r="E30" s="25" t="n">
        <f aca="false">Показатели!G16</f>
        <v>0</v>
      </c>
      <c r="F30" s="25" t="n">
        <f aca="false">Показатели!H16</f>
        <v>24.2764237937492</v>
      </c>
      <c r="G30" s="25" t="n">
        <f aca="false">Показатели!I16</f>
        <v>16988.4945792629</v>
      </c>
      <c r="H30" s="25" t="n">
        <f aca="false">Показатели!J16</f>
        <v>24842.8272373958</v>
      </c>
      <c r="I30" s="25" t="n">
        <f aca="false">Показатели!K16</f>
        <v>41.6278588675482</v>
      </c>
      <c r="J30" s="25" t="n">
        <f aca="false">Показатели!L16</f>
        <v>0</v>
      </c>
      <c r="K30" s="25" t="n">
        <f aca="false">Показатели!M16</f>
        <v>0.184678595876607</v>
      </c>
      <c r="L30" s="26" t="b">
        <f aca="false">Показатели!B16</f>
        <v>1</v>
      </c>
      <c r="N30" s="15" t="n">
        <f aca="false">IF($L30,IF(B$37&gt;B$36,(B30-B$36)/(B$37-B$36),0)+0.000001,0)</f>
        <v>0.288968529799532</v>
      </c>
      <c r="O30" s="15" t="n">
        <f aca="false">IF($L30,IF(C$37&gt;C$36,(C30-C$36)/(C$37-C$36),0)+0.000001,0)</f>
        <v>0.748116828468879</v>
      </c>
      <c r="P30" s="15" t="n">
        <f aca="false">IF($L30,IF(D$37&gt;D$36,(D30-D$36)/(D$37-D$36),0)+0.000001,0)</f>
        <v>0.00155384069954218</v>
      </c>
      <c r="Q30" s="15" t="n">
        <f aca="false">IF($L30,IF(E$37&gt;E$36,(E30-E$36)/(E$37-E$36),0)+0.000001,0)</f>
        <v>1E-006</v>
      </c>
      <c r="R30" s="15" t="n">
        <f aca="false">IF($L30,IF(F$37&gt;F$36,(F30-F$36)/(F$37-F$36),0)+0.000001,0)</f>
        <v>0.38552117041083</v>
      </c>
      <c r="S30" s="15" t="n">
        <f aca="false">IF($L30,IF(G$37&gt;G$36,(G30-G$36)/(G$37-G$36),0)+0.000001,0)</f>
        <v>0.836055794680127</v>
      </c>
      <c r="T30" s="15" t="n">
        <f aca="false">IF($L30,IF(H$37&gt;H$36,(H30-H$36)/(H$37-H$36),0)+0.000001,0)</f>
        <v>1.000001</v>
      </c>
      <c r="U30" s="15" t="n">
        <f aca="false">IF($L30,IF(I$37&gt;I$36,(I30-I$36)/(I$37-I$36),0)+0.000001,0)</f>
        <v>0.786349785361823</v>
      </c>
      <c r="V30" s="15" t="n">
        <f aca="false">IF($L30,IF(J$37&gt;J$36,(J30-J$36)/(J$37-J$36),0)+0.000001,0)</f>
        <v>1E-006</v>
      </c>
      <c r="W30" s="15" t="n">
        <f aca="false">IF($L30,IF(K$37&gt;K$36,(K30-K$36)/(K$37-K$36),0)+0.000001,0)</f>
        <v>0.0402823443696825</v>
      </c>
      <c r="Y30" s="15" t="n">
        <f aca="false">IF($L30,N30/N$38*LN(N30/N$38),0)</f>
        <v>-0.120146287649744</v>
      </c>
      <c r="Z30" s="15" t="n">
        <f aca="false">IF($L30,O30/O$38*LN(O30/O$38),0)</f>
        <v>-0.21025484740918</v>
      </c>
      <c r="AA30" s="15" t="n">
        <f aca="false">IF($L30,P30/P$38*LN(P30/P$38),0)</f>
        <v>-0.00107343975360688</v>
      </c>
      <c r="AB30" s="15" t="n">
        <f aca="false">IF($L30,Q30/Q$38*LN(Q30/Q$38),0)</f>
        <v>-1.86009737402904E-006</v>
      </c>
      <c r="AC30" s="15" t="n">
        <f aca="false">IF($L30,R30/R$38*LN(R30/R$38),0)</f>
        <v>-0.0961867357357948</v>
      </c>
      <c r="AD30" s="15" t="n">
        <f aca="false">IF($L30,S30/S$38*LN(S30/S$38),0)</f>
        <v>-0.214548893669526</v>
      </c>
      <c r="AE30" s="15" t="n">
        <f aca="false">IF($L30,T30/T$38*LN(T30/T$38),0)</f>
        <v>-0.235182542062742</v>
      </c>
      <c r="AF30" s="15" t="n">
        <f aca="false">IF($L30,U30/U$38*LN(U30/U$38),0)</f>
        <v>-0.215598640996701</v>
      </c>
      <c r="AG30" s="15" t="n">
        <f aca="false">IF($L30,V30/V$38*LN(V30/V$38),0)</f>
        <v>-2.11132670698034E-006</v>
      </c>
      <c r="AH30" s="15" t="n">
        <f aca="false">IF($L30,W30/W$38*LN(W30/W$38),0)</f>
        <v>-0.0193053513243625</v>
      </c>
    </row>
    <row r="31" customFormat="false" ht="15" hidden="false" customHeight="false" outlineLevel="0" collapsed="false">
      <c r="A31" s="17" t="str">
        <f aca="false">Показатели!A16&amp;" Д"</f>
        <v>фреза 0.16×1.8 Д</v>
      </c>
      <c r="B31" s="25" t="n">
        <f aca="false">Показатели!N16</f>
        <v>660.513932451982</v>
      </c>
      <c r="C31" s="25" t="n">
        <f aca="false">Показатели!O16</f>
        <v>759.591022319779</v>
      </c>
      <c r="D31" s="25" t="n">
        <f aca="false">Показатели!P16</f>
        <v>1</v>
      </c>
      <c r="E31" s="25" t="n">
        <f aca="false">Показатели!Q16</f>
        <v>0</v>
      </c>
      <c r="F31" s="25" t="n">
        <f aca="false">Показатели!R16</f>
        <v>30.3516430332141</v>
      </c>
      <c r="G31" s="25" t="n">
        <f aca="false">Показатели!S16</f>
        <v>19070.2770869952</v>
      </c>
      <c r="H31" s="25" t="n">
        <f aca="false">Показатели!T16</f>
        <v>22040.1159427991</v>
      </c>
      <c r="I31" s="25" t="n">
        <f aca="false">Показатели!U16</f>
        <v>49.3085609741313</v>
      </c>
      <c r="J31" s="25" t="n">
        <f aca="false">Показатели!V16</f>
        <v>49.3085609741313</v>
      </c>
      <c r="K31" s="25" t="n">
        <f aca="false">Показатели!W16</f>
        <v>0.788835510722647</v>
      </c>
      <c r="L31" s="26" t="b">
        <f aca="false">Показатели!B16</f>
        <v>1</v>
      </c>
      <c r="N31" s="15" t="n">
        <f aca="false">IF($L31,IF(B$37&gt;B$36,(B31-B$36)/(B$37-B$36),0)+0.000001,0)</f>
        <v>1.000001</v>
      </c>
      <c r="O31" s="15" t="n">
        <f aca="false">IF($L31,IF(C$37&gt;C$36,(C31-C$36)/(C$37-C$36),0)+0.000001,0)</f>
        <v>1.000001</v>
      </c>
      <c r="P31" s="15" t="n">
        <f aca="false">IF($L31,IF(D$37&gt;D$36,(D31-D$36)/(D$37-D$36),0)+0.000001,0)</f>
        <v>1.000001</v>
      </c>
      <c r="Q31" s="15" t="n">
        <f aca="false">IF($L31,IF(E$37&gt;E$36,(E31-E$36)/(E$37-E$36),0)+0.000001,0)</f>
        <v>1E-006</v>
      </c>
      <c r="R31" s="15" t="n">
        <f aca="false">IF($L31,IF(F$37&gt;F$36,(F31-F$36)/(F$37-F$36),0)+0.000001,0)</f>
        <v>0.493889545582799</v>
      </c>
      <c r="S31" s="15" t="n">
        <f aca="false">IF($L31,IF(G$37&gt;G$36,(G31-G$36)/(G$37-G$36),0)+0.000001,0)</f>
        <v>1.000001</v>
      </c>
      <c r="T31" s="15" t="n">
        <f aca="false">IF($L31,IF(H$37&gt;H$36,(H31-H$36)/(H$37-H$36),0)+0.000001,0)</f>
        <v>0.831096891793487</v>
      </c>
      <c r="U31" s="15" t="n">
        <f aca="false">IF($L31,IF(I$37&gt;I$36,(I31-I$36)/(I$37-I$36),0)+0.000001,0)</f>
        <v>1.000001</v>
      </c>
      <c r="V31" s="15" t="n">
        <f aca="false">IF($L31,IF(J$37&gt;J$36,(J31-J$36)/(J$37-J$36),0)+0.000001,0)</f>
        <v>1.000001</v>
      </c>
      <c r="W31" s="15" t="n">
        <f aca="false">IF($L31,IF(K$37&gt;K$36,(K31-K$36)/(K$37-K$36),0)+0.000001,0)</f>
        <v>0.75143828750257</v>
      </c>
      <c r="Y31" s="15" t="n">
        <f aca="false">IF($L31,N31/N$38*LN(N31/N$38),0)</f>
        <v>-0.260240138413684</v>
      </c>
      <c r="Z31" s="15" t="n">
        <f aca="false">IF($L31,O31/O$38*LN(O31/O$38),0)</f>
        <v>-0.247882651316478</v>
      </c>
      <c r="AA31" s="15" t="n">
        <f aca="false">IF($L31,P31/P$38*LN(P31/P$38),0)</f>
        <v>-0.19653551219816</v>
      </c>
      <c r="AB31" s="15" t="n">
        <f aca="false">IF($L31,Q31/Q$38*LN(Q31/Q$38),0)</f>
        <v>-1.86009737402904E-006</v>
      </c>
      <c r="AC31" s="15" t="n">
        <f aca="false">IF($L31,R31/R$38*LN(R31/R$38),0)</f>
        <v>-0.114817657223762</v>
      </c>
      <c r="AD31" s="15" t="n">
        <f aca="false">IF($L31,S31/S$38*LN(S31/S$38),0)</f>
        <v>-0.237672467009974</v>
      </c>
      <c r="AE31" s="15" t="n">
        <f aca="false">IF($L31,T31/T$38*LN(T31/T$38),0)</f>
        <v>-0.211425206934694</v>
      </c>
      <c r="AF31" s="15" t="n">
        <f aca="false">IF($L31,U31/U$38*LN(U31/U$38),0)</f>
        <v>-0.246909108738231</v>
      </c>
      <c r="AG31" s="15" t="n">
        <f aca="false">IF($L31,V31/V$38*LN(V31/V$38),0)</f>
        <v>-0.26869526100873</v>
      </c>
      <c r="AH31" s="15" t="n">
        <f aca="false">IF($L31,W31/W$38*LN(W31/W$38),0)</f>
        <v>-0.174777551269777</v>
      </c>
    </row>
    <row r="32" customFormat="false" ht="15" hidden="false" customHeight="false" outlineLevel="0" collapsed="false">
      <c r="A32" s="17" t="str">
        <f aca="false">Показатели!A17&amp;" ЭТ"</f>
        <v>фреза 0.16×2.7 ЭТ</v>
      </c>
      <c r="B32" s="25" t="n">
        <f aca="false">Показатели!D17</f>
        <v>218.052446394076</v>
      </c>
      <c r="C32" s="25" t="n">
        <f aca="false">Показатели!E17</f>
        <v>545.13111598519</v>
      </c>
      <c r="D32" s="25" t="n">
        <f aca="false">Показатели!F17</f>
        <v>0.267029938726936</v>
      </c>
      <c r="E32" s="25" t="n">
        <f aca="false">Показатели!G17</f>
        <v>0</v>
      </c>
      <c r="F32" s="25" t="n">
        <f aca="false">Показатели!H17</f>
        <v>-1.61322054741009</v>
      </c>
      <c r="G32" s="25" t="n">
        <f aca="false">Показатели!I17</f>
        <v>12234.4662073345</v>
      </c>
      <c r="H32" s="25" t="n">
        <f aca="false">Показатели!J17</f>
        <v>17929.5378544783</v>
      </c>
      <c r="I32" s="25" t="n">
        <f aca="false">Показатели!K17</f>
        <v>36.7054951430028</v>
      </c>
      <c r="J32" s="25" t="n">
        <f aca="false">Показатели!L17</f>
        <v>0</v>
      </c>
      <c r="K32" s="25" t="n">
        <f aca="false">Показатели!M17</f>
        <v>0.141605643562715</v>
      </c>
      <c r="L32" s="26" t="b">
        <f aca="false">Показатели!B17</f>
        <v>0</v>
      </c>
      <c r="N32" s="15" t="n">
        <f aca="false">IF($L32,IF(B$37&gt;B$36,(B32-B$36)/(B$37-B$36),0)+0.000001,0)</f>
        <v>0</v>
      </c>
      <c r="O32" s="15" t="n">
        <f aca="false">IF($L32,IF(C$37&gt;C$36,(C32-C$36)/(C$37-C$36),0)+0.000001,0)</f>
        <v>0</v>
      </c>
      <c r="P32" s="15" t="n">
        <f aca="false">IF($L32,IF(D$37&gt;D$36,(D32-D$36)/(D$37-D$36),0)+0.000001,0)</f>
        <v>0</v>
      </c>
      <c r="Q32" s="15" t="n">
        <f aca="false">IF($L32,IF(E$37&gt;E$36,(E32-E$36)/(E$37-E$36),0)+0.000001,0)</f>
        <v>0</v>
      </c>
      <c r="R32" s="15" t="n">
        <f aca="false">IF($L32,IF(F$37&gt;F$36,(F32-F$36)/(F$37-F$36),0)+0.000001,0)</f>
        <v>0</v>
      </c>
      <c r="S32" s="15" t="n">
        <f aca="false">IF($L32,IF(G$37&gt;G$36,(G32-G$36)/(G$37-G$36),0)+0.000001,0)</f>
        <v>0</v>
      </c>
      <c r="T32" s="15" t="n">
        <f aca="false">IF($L32,IF(H$37&gt;H$36,(H32-H$36)/(H$37-H$36),0)+0.000001,0)</f>
        <v>0</v>
      </c>
      <c r="U32" s="15" t="n">
        <f aca="false">IF($L32,IF(I$37&gt;I$36,(I32-I$36)/(I$37-I$36),0)+0.000001,0)</f>
        <v>0</v>
      </c>
      <c r="V32" s="15" t="n">
        <f aca="false">IF($L32,IF(J$37&gt;J$36,(J32-J$36)/(J$37-J$36),0)+0.000001,0)</f>
        <v>0</v>
      </c>
      <c r="W32" s="15" t="n">
        <f aca="false">IF($L32,IF(K$37&gt;K$36,(K32-K$36)/(K$37-K$36),0)+0.000001,0)</f>
        <v>0</v>
      </c>
      <c r="Y32" s="15" t="n">
        <f aca="false">IF($L32,N32/N$38*LN(N32/N$38),0)</f>
        <v>0</v>
      </c>
      <c r="Z32" s="15" t="n">
        <f aca="false">IF($L32,O32/O$38*LN(O32/O$38),0)</f>
        <v>0</v>
      </c>
      <c r="AA32" s="15" t="n">
        <f aca="false">IF($L32,P32/P$38*LN(P32/P$38),0)</f>
        <v>0</v>
      </c>
      <c r="AB32" s="15" t="n">
        <f aca="false">IF($L32,Q32/Q$38*LN(Q32/Q$38),0)</f>
        <v>0</v>
      </c>
      <c r="AC32" s="15" t="n">
        <f aca="false">IF($L32,R32/R$38*LN(R32/R$38),0)</f>
        <v>0</v>
      </c>
      <c r="AD32" s="15" t="n">
        <f aca="false">IF($L32,S32/S$38*LN(S32/S$38),0)</f>
        <v>0</v>
      </c>
      <c r="AE32" s="15" t="n">
        <f aca="false">IF($L32,T32/T$38*LN(T32/T$38),0)</f>
        <v>0</v>
      </c>
      <c r="AF32" s="15" t="n">
        <f aca="false">IF($L32,U32/U$38*LN(U32/U$38),0)</f>
        <v>0</v>
      </c>
      <c r="AG32" s="15" t="n">
        <f aca="false">IF($L32,V32/V$38*LN(V32/V$38),0)</f>
        <v>0</v>
      </c>
      <c r="AH32" s="15" t="n">
        <f aca="false">IF($L32,W32/W$38*LN(W32/W$38),0)</f>
        <v>0</v>
      </c>
    </row>
    <row r="33" customFormat="false" ht="15" hidden="false" customHeight="false" outlineLevel="0" collapsed="false">
      <c r="A33" s="17" t="str">
        <f aca="false">Показатели!A17&amp;" Д"</f>
        <v>фреза 0.16×2.7 Д</v>
      </c>
      <c r="B33" s="25" t="n">
        <f aca="false">Показатели!N17</f>
        <v>533.010727782082</v>
      </c>
      <c r="C33" s="25" t="n">
        <f aca="false">Показатели!O17</f>
        <v>612.962336949394</v>
      </c>
      <c r="D33" s="25" t="n">
        <f aca="false">Показатели!P17</f>
        <v>1</v>
      </c>
      <c r="E33" s="25" t="n">
        <f aca="false">Показатели!Q17</f>
        <v>0</v>
      </c>
      <c r="F33" s="25" t="n">
        <f aca="false">Показатели!R17</f>
        <v>6.63397317387173</v>
      </c>
      <c r="G33" s="25" t="n">
        <f aca="false">Показатели!S17</f>
        <v>13820.7410627068</v>
      </c>
      <c r="H33" s="25" t="n">
        <f aca="false">Показатели!T17</f>
        <v>15851.0458970541</v>
      </c>
      <c r="I33" s="25" t="n">
        <f aca="false">Показатели!U17</f>
        <v>39.7902158901387</v>
      </c>
      <c r="J33" s="25" t="n">
        <f aca="false">Показатели!V17</f>
        <v>39.7902158901387</v>
      </c>
      <c r="K33" s="25" t="n">
        <f aca="false">Показатели!W17</f>
        <v>0.670312071394148</v>
      </c>
      <c r="L33" s="26" t="b">
        <f aca="false">Показатели!B17</f>
        <v>0</v>
      </c>
      <c r="N33" s="15" t="n">
        <f aca="false">IF($L33,IF(B$37&gt;B$36,(B33-B$36)/(B$37-B$36),0)+0.000001,0)</f>
        <v>0</v>
      </c>
      <c r="O33" s="15" t="n">
        <f aca="false">IF($L33,IF(C$37&gt;C$36,(C33-C$36)/(C$37-C$36),0)+0.000001,0)</f>
        <v>0</v>
      </c>
      <c r="P33" s="15" t="n">
        <f aca="false">IF($L33,IF(D$37&gt;D$36,(D33-D$36)/(D$37-D$36),0)+0.000001,0)</f>
        <v>0</v>
      </c>
      <c r="Q33" s="15" t="n">
        <f aca="false">IF($L33,IF(E$37&gt;E$36,(E33-E$36)/(E$37-E$36),0)+0.000001,0)</f>
        <v>0</v>
      </c>
      <c r="R33" s="15" t="n">
        <f aca="false">IF($L33,IF(F$37&gt;F$36,(F33-F$36)/(F$37-F$36),0)+0.000001,0)</f>
        <v>0</v>
      </c>
      <c r="S33" s="15" t="n">
        <f aca="false">IF($L33,IF(G$37&gt;G$36,(G33-G$36)/(G$37-G$36),0)+0.000001,0)</f>
        <v>0</v>
      </c>
      <c r="T33" s="15" t="n">
        <f aca="false">IF($L33,IF(H$37&gt;H$36,(H33-H$36)/(H$37-H$36),0)+0.000001,0)</f>
        <v>0</v>
      </c>
      <c r="U33" s="15" t="n">
        <f aca="false">IF($L33,IF(I$37&gt;I$36,(I33-I$36)/(I$37-I$36),0)+0.000001,0)</f>
        <v>0</v>
      </c>
      <c r="V33" s="15" t="n">
        <f aca="false">IF($L33,IF(J$37&gt;J$36,(J33-J$36)/(J$37-J$36),0)+0.000001,0)</f>
        <v>0</v>
      </c>
      <c r="W33" s="15" t="n">
        <f aca="false">IF($L33,IF(K$37&gt;K$36,(K33-K$36)/(K$37-K$36),0)+0.000001,0)</f>
        <v>0</v>
      </c>
      <c r="Y33" s="15" t="n">
        <f aca="false">IF($L33,N33/N$38*LN(N33/N$38),0)</f>
        <v>0</v>
      </c>
      <c r="Z33" s="15" t="n">
        <f aca="false">IF($L33,O33/O$38*LN(O33/O$38),0)</f>
        <v>0</v>
      </c>
      <c r="AA33" s="15" t="n">
        <f aca="false">IF($L33,P33/P$38*LN(P33/P$38),0)</f>
        <v>0</v>
      </c>
      <c r="AB33" s="15" t="n">
        <f aca="false">IF($L33,Q33/Q$38*LN(Q33/Q$38),0)</f>
        <v>0</v>
      </c>
      <c r="AC33" s="15" t="n">
        <f aca="false">IF($L33,R33/R$38*LN(R33/R$38),0)</f>
        <v>0</v>
      </c>
      <c r="AD33" s="15" t="n">
        <f aca="false">IF($L33,S33/S$38*LN(S33/S$38),0)</f>
        <v>0</v>
      </c>
      <c r="AE33" s="15" t="n">
        <f aca="false">IF($L33,T33/T$38*LN(T33/T$38),0)</f>
        <v>0</v>
      </c>
      <c r="AF33" s="15" t="n">
        <f aca="false">IF($L33,U33/U$38*LN(U33/U$38),0)</f>
        <v>0</v>
      </c>
      <c r="AG33" s="15" t="n">
        <f aca="false">IF($L33,V33/V$38*LN(V33/V$38),0)</f>
        <v>0</v>
      </c>
      <c r="AH33" s="15" t="n">
        <f aca="false">IF($L33,W33/W$38*LN(W33/W$38),0)</f>
        <v>0</v>
      </c>
    </row>
    <row r="35" customFormat="false" ht="15" hidden="false" customHeight="false" outlineLevel="0" collapsed="false">
      <c r="A35" s="5" t="s">
        <v>484</v>
      </c>
      <c r="B35" s="6" t="n">
        <f aca="false">COUNTIF(L2:L33,TRUE())</f>
        <v>26</v>
      </c>
    </row>
    <row r="36" customFormat="false" ht="15" hidden="false" customHeight="false" outlineLevel="0" collapsed="false">
      <c r="A36" s="5" t="s">
        <v>485</v>
      </c>
      <c r="B36" s="11" t="n">
        <f aca="false">_xlfn.MINIFS(B2:B33,$L$2:$L$33,TRUE())</f>
        <v>79.359430125058</v>
      </c>
      <c r="C36" s="11" t="n">
        <f aca="false">_xlfn.MINIFS(C2:C33,$L$2:$L$33,TRUE())</f>
        <v>198.398575312645</v>
      </c>
      <c r="D36" s="11" t="n">
        <f aca="false">_xlfn.MINIFS(D2:D33,$L$2:$L$33,TRUE())</f>
        <v>0.264590189630799</v>
      </c>
      <c r="E36" s="11" t="n">
        <f aca="false">_xlfn.MINIFS(E2:E33,$L$2:$L$33,TRUE())</f>
        <v>0</v>
      </c>
      <c r="F36" s="11" t="n">
        <f aca="false">_xlfn.MINIFS(F2:F33,$L$2:$L$33,TRUE())</f>
        <v>2.66384952782565</v>
      </c>
      <c r="G36" s="11" t="n">
        <f aca="false">_xlfn.MINIFS(G2:G33,$L$2:$L$33,TRUE())</f>
        <v>6372.23871697688</v>
      </c>
      <c r="H36" s="11" t="n">
        <f aca="false">_xlfn.MINIFS(H2:H33,$L$2:$L$33,TRUE())</f>
        <v>8249.32146446387</v>
      </c>
      <c r="I36" s="11" t="n">
        <f aca="false">_xlfn.MINIFS(I2:I33,$L$2:$L$33,TRUE())</f>
        <v>13.3588374043848</v>
      </c>
      <c r="J36" s="11" t="n">
        <f aca="false">_xlfn.MINIFS(J2:J33,$L$2:$L$33,TRUE())</f>
        <v>0</v>
      </c>
      <c r="K36" s="11" t="n">
        <f aca="false">_xlfn.MINIFS(K2:K33,$L$2:$L$33,TRUE())</f>
        <v>0.150457897905598</v>
      </c>
    </row>
    <row r="37" customFormat="false" ht="15" hidden="false" customHeight="false" outlineLevel="0" collapsed="false">
      <c r="A37" s="5" t="s">
        <v>486</v>
      </c>
      <c r="B37" s="11" t="n">
        <f aca="false">_xlfn.MAXIFS(B2:B33,$L$2:$L$33,TRUE())</f>
        <v>660.513932451982</v>
      </c>
      <c r="C37" s="11" t="n">
        <f aca="false">_xlfn.MAXIFS(C2:C33,$L$2:$L$33,TRUE())</f>
        <v>759.591022319779</v>
      </c>
      <c r="D37" s="11" t="n">
        <f aca="false">_xlfn.MAXIFS(D2:D33,$L$2:$L$33,TRUE())</f>
        <v>1</v>
      </c>
      <c r="E37" s="11" t="n">
        <f aca="false">_xlfn.MAXIFS(E2:E33,$L$2:$L$33,TRUE())</f>
        <v>12.2110492503623</v>
      </c>
      <c r="F37" s="11" t="n">
        <f aca="false">_xlfn.MAXIFS(F2:F33,$L$2:$L$33,TRUE())</f>
        <v>58.7246627477723</v>
      </c>
      <c r="G37" s="11" t="n">
        <f aca="false">_xlfn.MAXIFS(G2:G33,$L$2:$L$33,TRUE())</f>
        <v>19070.2770869952</v>
      </c>
      <c r="H37" s="11" t="n">
        <f aca="false">_xlfn.MAXIFS(H2:H33,$L$2:$L$33,TRUE())</f>
        <v>24842.8272373958</v>
      </c>
      <c r="I37" s="11" t="n">
        <f aca="false">_xlfn.MAXIFS(I2:I33,$L$2:$L$33,TRUE())</f>
        <v>49.3085609741313</v>
      </c>
      <c r="J37" s="11" t="n">
        <f aca="false">_xlfn.MAXIFS(J2:J33,$L$2:$L$33,TRUE())</f>
        <v>49.3085609741313</v>
      </c>
      <c r="K37" s="11" t="n">
        <f aca="false">_xlfn.MAXIFS(K2:K33,$L$2:$L$33,TRUE())</f>
        <v>1</v>
      </c>
    </row>
    <row r="38" customFormat="false" ht="15" hidden="false" customHeight="false" outlineLevel="0" collapsed="false">
      <c r="A38" s="5" t="s">
        <v>487</v>
      </c>
      <c r="B38" s="15" t="n">
        <f aca="false">SUM(N2:N33)</f>
        <v>7.98165395235434</v>
      </c>
      <c r="C38" s="15" t="n">
        <f aca="false">SUM(O2:O33)</f>
        <v>8.75061130168779</v>
      </c>
      <c r="D38" s="15" t="n">
        <f aca="false">SUM(P2:P33)</f>
        <v>13.0833425669005</v>
      </c>
      <c r="E38" s="15" t="n">
        <f aca="false">SUM(Q2:Q33)</f>
        <v>8.58304490705125</v>
      </c>
      <c r="F38" s="15" t="n">
        <f aca="false">SUM(R2:R33)</f>
        <v>14.5530712863663</v>
      </c>
      <c r="G38" s="15" t="n">
        <f aca="false">SUM(S2:S33)</f>
        <v>9.45008474815539</v>
      </c>
      <c r="H38" s="15" t="n">
        <f aca="false">SUM(T2:T33)</f>
        <v>9.63058328484819</v>
      </c>
      <c r="I38" s="15" t="n">
        <f aca="false">SUM(U2:U33)</f>
        <v>8.81464184100326</v>
      </c>
      <c r="J38" s="15" t="n">
        <f aca="false">SUM(V2:V33)</f>
        <v>7.4977063772418</v>
      </c>
      <c r="K38" s="15" t="n">
        <f aca="false">SUM(W2:W33)</f>
        <v>11.8627783189306</v>
      </c>
      <c r="N38" s="27" t="n">
        <f aca="false">SUM(N2:N33)</f>
        <v>7.98165395235434</v>
      </c>
      <c r="O38" s="27" t="n">
        <f aca="false">SUM(O2:O33)</f>
        <v>8.75061130168779</v>
      </c>
      <c r="P38" s="27" t="n">
        <f aca="false">SUM(P2:P33)</f>
        <v>13.0833425669005</v>
      </c>
      <c r="Q38" s="27" t="n">
        <f aca="false">SUM(Q2:Q33)</f>
        <v>8.58304490705125</v>
      </c>
      <c r="R38" s="27" t="n">
        <f aca="false">SUM(R2:R33)</f>
        <v>14.5530712863663</v>
      </c>
      <c r="S38" s="27" t="n">
        <f aca="false">SUM(S2:S33)</f>
        <v>9.45008474815539</v>
      </c>
      <c r="T38" s="27" t="n">
        <f aca="false">SUM(T2:T33)</f>
        <v>9.63058328484819</v>
      </c>
      <c r="U38" s="27" t="n">
        <f aca="false">SUM(U2:U33)</f>
        <v>8.81464184100326</v>
      </c>
      <c r="V38" s="27" t="n">
        <f aca="false">SUM(V2:V33)</f>
        <v>7.4977063772418</v>
      </c>
      <c r="W38" s="27" t="n">
        <f aca="false">SUM(W2:W33)</f>
        <v>11.8627783189306</v>
      </c>
    </row>
    <row r="39" customFormat="false" ht="15" hidden="false" customHeight="false" outlineLevel="0" collapsed="false">
      <c r="A39" s="5" t="s">
        <v>488</v>
      </c>
      <c r="B39" s="15" t="n">
        <f aca="false">-SUM(Y2:Y33)/LN($B$35)</f>
        <v>0.877730836271301</v>
      </c>
      <c r="C39" s="15" t="n">
        <f aca="false">-SUM(Z2:Z33)/LN($B$35)</f>
        <v>0.907897014999739</v>
      </c>
      <c r="D39" s="15" t="n">
        <f aca="false">-SUM(AA2:AA33)/LN($B$35)</f>
        <v>0.796652284905945</v>
      </c>
      <c r="E39" s="15" t="n">
        <f aca="false">-SUM(AB2:AB33)/LN($B$35)</f>
        <v>0.754181444169665</v>
      </c>
      <c r="F39" s="15" t="n">
        <f aca="false">-SUM(AC2:AC33)/LN($B$35)</f>
        <v>0.955667321658371</v>
      </c>
      <c r="G39" s="15" t="n">
        <f aca="false">-SUM(AD2:AD33)/LN($B$35)</f>
        <v>0.894087944922895</v>
      </c>
      <c r="H39" s="15" t="n">
        <f aca="false">-SUM(AE2:AE33)/LN($B$35)</f>
        <v>0.896819071610945</v>
      </c>
      <c r="I39" s="15" t="n">
        <f aca="false">-SUM(AF2:AF33)/LN($B$35)</f>
        <v>0.907025990155231</v>
      </c>
      <c r="J39" s="15" t="n">
        <f aca="false">-SUM(AG2:AG33)/LN($B$35)</f>
        <v>0.770262148138611</v>
      </c>
      <c r="K39" s="15" t="n">
        <f aca="false">-SUM(AH2:AH33)/LN($B$35)</f>
        <v>0.869517615649953</v>
      </c>
    </row>
    <row r="40" customFormat="false" ht="15" hidden="false" customHeight="false" outlineLevel="0" collapsed="false">
      <c r="A40" s="5" t="s">
        <v>489</v>
      </c>
      <c r="B40" s="22" t="n">
        <f aca="false">(1-B39)/(10-SUM($B$39:$K$39))</f>
        <v>0.0892372518366141</v>
      </c>
      <c r="C40" s="22" t="n">
        <f aca="false">(1-C39)/(10-SUM($B$39:$K$39))</f>
        <v>0.0672206876756696</v>
      </c>
      <c r="D40" s="22" t="n">
        <f aca="false">(1-D39)/(10-SUM($B$39:$K$39))</f>
        <v>0.148411837530127</v>
      </c>
      <c r="E40" s="22" t="n">
        <f aca="false">(1-E39)/(10-SUM($B$39:$K$39))</f>
        <v>0.179408868955857</v>
      </c>
      <c r="F40" s="22" t="n">
        <f aca="false">(1-F39)/(10-SUM($B$39:$K$39))</f>
        <v>0.0323558799383114</v>
      </c>
      <c r="G40" s="22" t="n">
        <f aca="false">(1-G39)/(10-SUM($B$39:$K$39))</f>
        <v>0.0772991361290431</v>
      </c>
      <c r="H40" s="22" t="n">
        <f aca="false">(1-H39)/(10-SUM($B$39:$K$39))</f>
        <v>0.0753058433590029</v>
      </c>
      <c r="I40" s="22" t="n">
        <f aca="false">(1-I39)/(10-SUM($B$39:$K$39))</f>
        <v>0.0678563987661437</v>
      </c>
      <c r="J40" s="22" t="n">
        <f aca="false">(1-J39)/(10-SUM($B$39:$K$39))</f>
        <v>0.167672485177433</v>
      </c>
      <c r="K40" s="22" t="n">
        <f aca="false">(1-K39)/(10-SUM($B$39:$K$39))</f>
        <v>0.0952316106317977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8" min="5" style="0" width="10"/>
    <col collapsed="false" customWidth="true" hidden="false" outlineLevel="0" max="9" min="9" style="0" width="14"/>
    <col collapsed="false" customWidth="true" hidden="false" outlineLevel="0" max="11" min="11" style="0" width="60"/>
  </cols>
  <sheetData>
    <row r="1" customFormat="false" ht="45" hidden="false" customHeight="true" outlineLevel="0" collapsed="false">
      <c r="A1" s="4" t="s">
        <v>490</v>
      </c>
      <c r="B1" s="4" t="s">
        <v>240</v>
      </c>
      <c r="C1" s="4" t="s">
        <v>253</v>
      </c>
      <c r="D1" s="4" t="s">
        <v>252</v>
      </c>
      <c r="E1" s="4" t="s">
        <v>491</v>
      </c>
      <c r="F1" s="4" t="s">
        <v>492</v>
      </c>
      <c r="G1" s="4" t="s">
        <v>493</v>
      </c>
      <c r="H1" s="4" t="s">
        <v>494</v>
      </c>
      <c r="I1" s="4" t="s">
        <v>495</v>
      </c>
      <c r="K1" s="28" t="s">
        <v>496</v>
      </c>
    </row>
    <row r="2" customFormat="false" ht="15" hidden="false" customHeight="false" outlineLevel="0" collapsed="false">
      <c r="A2" s="10" t="s">
        <v>497</v>
      </c>
      <c r="B2" s="10" t="s">
        <v>268</v>
      </c>
      <c r="C2" s="10" t="n">
        <v>0.08</v>
      </c>
      <c r="D2" s="10" t="n">
        <v>3.6</v>
      </c>
      <c r="E2" s="29" t="n">
        <v>0.023</v>
      </c>
      <c r="F2" s="29" t="n">
        <v>-0.1145</v>
      </c>
      <c r="G2" s="29" t="n">
        <v>0.1527</v>
      </c>
      <c r="H2" s="29" t="n">
        <v>0.606</v>
      </c>
      <c r="I2" s="29" t="n">
        <v>0.162</v>
      </c>
    </row>
    <row r="3" customFormat="false" ht="15" hidden="false" customHeight="false" outlineLevel="0" collapsed="false">
      <c r="A3" s="10" t="s">
        <v>497</v>
      </c>
      <c r="B3" s="10" t="s">
        <v>268</v>
      </c>
      <c r="C3" s="10" t="n">
        <v>0.08</v>
      </c>
      <c r="D3" s="10" t="n">
        <v>4.5</v>
      </c>
      <c r="E3" s="29" t="n">
        <v>-0.0096</v>
      </c>
      <c r="F3" s="29" t="n">
        <v>-0.1425</v>
      </c>
      <c r="G3" s="29" t="n">
        <v>0.1201</v>
      </c>
      <c r="H3" s="29" t="n">
        <v>0.457</v>
      </c>
      <c r="I3" s="29" t="n">
        <v>0.102</v>
      </c>
    </row>
    <row r="4" customFormat="false" ht="15" hidden="false" customHeight="false" outlineLevel="0" collapsed="false">
      <c r="A4" s="10" t="s">
        <v>497</v>
      </c>
      <c r="B4" s="10" t="s">
        <v>268</v>
      </c>
      <c r="C4" s="10" t="n">
        <v>0.08</v>
      </c>
      <c r="D4" s="10" t="n">
        <v>5.4</v>
      </c>
      <c r="E4" s="29" t="n">
        <v>-0.0334</v>
      </c>
      <c r="F4" s="29" t="n">
        <v>-0.1713</v>
      </c>
      <c r="G4" s="29" t="n">
        <v>0.1006</v>
      </c>
      <c r="H4" s="29" t="n">
        <v>0.341</v>
      </c>
      <c r="I4" s="29" t="n">
        <v>0.049</v>
      </c>
    </row>
    <row r="5" customFormat="false" ht="15" hidden="false" customHeight="false" outlineLevel="0" collapsed="false">
      <c r="A5" s="10" t="s">
        <v>497</v>
      </c>
      <c r="B5" s="10" t="s">
        <v>268</v>
      </c>
      <c r="C5" s="10" t="n">
        <v>0.11</v>
      </c>
      <c r="D5" s="10" t="n">
        <v>3.6</v>
      </c>
      <c r="E5" s="29" t="n">
        <v>-0.0079</v>
      </c>
      <c r="F5" s="29" t="n">
        <v>-0.1401</v>
      </c>
      <c r="G5" s="29" t="n">
        <v>0.123</v>
      </c>
      <c r="H5" s="29" t="n">
        <v>0.458</v>
      </c>
      <c r="I5" s="29" t="n">
        <v>0.1</v>
      </c>
    </row>
    <row r="6" customFormat="false" ht="15" hidden="false" customHeight="false" outlineLevel="0" collapsed="false">
      <c r="A6" s="10" t="s">
        <v>497</v>
      </c>
      <c r="B6" s="10" t="s">
        <v>268</v>
      </c>
      <c r="C6" s="10" t="n">
        <v>0.11</v>
      </c>
      <c r="D6" s="10" t="n">
        <v>4.5</v>
      </c>
      <c r="E6" s="29" t="n">
        <v>-0.0332</v>
      </c>
      <c r="F6" s="29" t="n">
        <v>-0.1711</v>
      </c>
      <c r="G6" s="29" t="n">
        <v>0.1015</v>
      </c>
      <c r="H6" s="29" t="n">
        <v>0.337</v>
      </c>
      <c r="I6" s="29" t="n">
        <v>0.05</v>
      </c>
    </row>
    <row r="7" customFormat="false" ht="15" hidden="false" customHeight="false" outlineLevel="0" collapsed="false">
      <c r="A7" s="10" t="s">
        <v>497</v>
      </c>
      <c r="B7" s="10" t="s">
        <v>268</v>
      </c>
      <c r="C7" s="10" t="n">
        <v>0.11</v>
      </c>
      <c r="D7" s="10" t="n">
        <v>5.4</v>
      </c>
      <c r="E7" s="29" t="n">
        <v>-0.0593</v>
      </c>
      <c r="F7" s="29" t="n">
        <v>-0.1981</v>
      </c>
      <c r="G7" s="29" t="n">
        <v>0.0786</v>
      </c>
      <c r="H7" s="29" t="n">
        <v>0.237</v>
      </c>
      <c r="I7" s="29" t="n">
        <v>0.053</v>
      </c>
    </row>
    <row r="8" customFormat="false" ht="15" hidden="false" customHeight="false" outlineLevel="0" collapsed="false">
      <c r="A8" s="10" t="s">
        <v>497</v>
      </c>
      <c r="B8" s="10" t="s">
        <v>268</v>
      </c>
      <c r="C8" s="10" t="n">
        <v>0.14</v>
      </c>
      <c r="D8" s="10" t="n">
        <v>3.6</v>
      </c>
      <c r="E8" s="29" t="n">
        <v>-0.0237</v>
      </c>
      <c r="F8" s="29" t="n">
        <v>-0.1622</v>
      </c>
      <c r="G8" s="29" t="n">
        <v>0.1102</v>
      </c>
      <c r="H8" s="29" t="n">
        <v>0.387</v>
      </c>
      <c r="I8" s="29" t="n">
        <v>0.058</v>
      </c>
    </row>
    <row r="9" customFormat="false" ht="15" hidden="false" customHeight="false" outlineLevel="0" collapsed="false">
      <c r="A9" s="10" t="s">
        <v>497</v>
      </c>
      <c r="B9" s="10" t="s">
        <v>268</v>
      </c>
      <c r="C9" s="10" t="n">
        <v>0.14</v>
      </c>
      <c r="D9" s="10" t="n">
        <v>4.5</v>
      </c>
      <c r="E9" s="29" t="n">
        <v>-0.0498</v>
      </c>
      <c r="F9" s="29" t="n">
        <v>-0.1905</v>
      </c>
      <c r="G9" s="29" t="n">
        <v>0.0893</v>
      </c>
      <c r="H9" s="29" t="n">
        <v>0.278</v>
      </c>
      <c r="I9" s="29" t="n">
        <v>0.062</v>
      </c>
    </row>
    <row r="10" customFormat="false" ht="15" hidden="false" customHeight="false" outlineLevel="0" collapsed="false">
      <c r="A10" s="10" t="s">
        <v>497</v>
      </c>
      <c r="B10" s="10" t="s">
        <v>273</v>
      </c>
      <c r="C10" s="10" t="n">
        <v>0.08</v>
      </c>
      <c r="D10" s="10" t="n">
        <v>1.8</v>
      </c>
      <c r="E10" s="29" t="n">
        <v>0.0061</v>
      </c>
      <c r="F10" s="29" t="n">
        <v>-0.1282</v>
      </c>
      <c r="G10" s="29" t="n">
        <v>0.1393</v>
      </c>
      <c r="H10" s="29" t="n">
        <v>0.531</v>
      </c>
      <c r="I10" s="29" t="n">
        <v>0.169</v>
      </c>
    </row>
    <row r="11" customFormat="false" ht="15" hidden="false" customHeight="false" outlineLevel="0" collapsed="false">
      <c r="A11" s="10" t="s">
        <v>497</v>
      </c>
      <c r="B11" s="10" t="s">
        <v>273</v>
      </c>
      <c r="C11" s="10" t="n">
        <v>0.08</v>
      </c>
      <c r="D11" s="10" t="n">
        <v>2.7</v>
      </c>
      <c r="E11" s="29" t="n">
        <v>-0.0331</v>
      </c>
      <c r="F11" s="29" t="n">
        <v>-0.1666</v>
      </c>
      <c r="G11" s="29" t="n">
        <v>0.0982</v>
      </c>
      <c r="H11" s="29" t="n">
        <v>0.336</v>
      </c>
      <c r="I11" s="29" t="n">
        <v>0.085</v>
      </c>
    </row>
    <row r="12" customFormat="false" ht="15" hidden="false" customHeight="false" outlineLevel="0" collapsed="false">
      <c r="A12" s="10" t="s">
        <v>497</v>
      </c>
      <c r="B12" s="10" t="s">
        <v>273</v>
      </c>
      <c r="C12" s="10" t="n">
        <v>0.08</v>
      </c>
      <c r="D12" s="10" t="n">
        <v>3.6</v>
      </c>
      <c r="E12" s="29" t="n">
        <v>-0.0523</v>
      </c>
      <c r="F12" s="29" t="n">
        <v>-0.1886</v>
      </c>
      <c r="G12" s="29" t="n">
        <v>0.0814</v>
      </c>
      <c r="H12" s="29" t="n">
        <v>0.256</v>
      </c>
      <c r="I12" s="29" t="n">
        <v>0.047</v>
      </c>
    </row>
    <row r="13" customFormat="false" ht="15" hidden="false" customHeight="false" outlineLevel="0" collapsed="false">
      <c r="A13" s="10" t="s">
        <v>497</v>
      </c>
      <c r="B13" s="10" t="s">
        <v>273</v>
      </c>
      <c r="C13" s="10" t="n">
        <v>0.12</v>
      </c>
      <c r="D13" s="10" t="n">
        <v>1.8</v>
      </c>
      <c r="E13" s="29" t="n">
        <v>-0.0352</v>
      </c>
      <c r="F13" s="29" t="n">
        <v>-0.1689</v>
      </c>
      <c r="G13" s="29" t="n">
        <v>0.0976</v>
      </c>
      <c r="H13" s="29" t="n">
        <v>0.325</v>
      </c>
      <c r="I13" s="29" t="n">
        <v>0.074</v>
      </c>
    </row>
    <row r="14" customFormat="false" ht="15" hidden="false" customHeight="false" outlineLevel="0" collapsed="false">
      <c r="A14" s="10" t="s">
        <v>497</v>
      </c>
      <c r="B14" s="10" t="s">
        <v>273</v>
      </c>
      <c r="C14" s="10" t="n">
        <v>0.12</v>
      </c>
      <c r="D14" s="10" t="n">
        <v>2.7</v>
      </c>
      <c r="E14" s="29" t="n">
        <v>-0.0631</v>
      </c>
      <c r="F14" s="29" t="n">
        <v>-0.198</v>
      </c>
      <c r="G14" s="29" t="n">
        <v>0.0699</v>
      </c>
      <c r="H14" s="29" t="n">
        <v>0.219</v>
      </c>
      <c r="I14" s="29" t="n">
        <v>0.049</v>
      </c>
    </row>
    <row r="15" customFormat="false" ht="15" hidden="false" customHeight="false" outlineLevel="0" collapsed="false">
      <c r="A15" s="10" t="s">
        <v>497</v>
      </c>
      <c r="B15" s="10" t="s">
        <v>273</v>
      </c>
      <c r="C15" s="10" t="n">
        <v>0.12</v>
      </c>
      <c r="D15" s="10" t="n">
        <v>3.6</v>
      </c>
      <c r="E15" s="29" t="n">
        <v>-0.0995</v>
      </c>
      <c r="F15" s="29" t="n">
        <v>-0.2409</v>
      </c>
      <c r="G15" s="29" t="n">
        <v>0.0345</v>
      </c>
      <c r="H15" s="29" t="n">
        <v>0.116</v>
      </c>
      <c r="I15" s="29" t="n">
        <v>0.046</v>
      </c>
    </row>
    <row r="16" customFormat="false" ht="15" hidden="false" customHeight="false" outlineLevel="0" collapsed="false">
      <c r="A16" s="10" t="s">
        <v>497</v>
      </c>
      <c r="B16" s="10" t="s">
        <v>273</v>
      </c>
      <c r="C16" s="10" t="n">
        <v>0.16</v>
      </c>
      <c r="D16" s="10" t="n">
        <v>1.8</v>
      </c>
      <c r="E16" s="29" t="n">
        <v>-0.0563</v>
      </c>
      <c r="F16" s="29" t="n">
        <v>-0.1915</v>
      </c>
      <c r="G16" s="29" t="n">
        <v>0.0781</v>
      </c>
      <c r="H16" s="29" t="n">
        <v>0.244</v>
      </c>
      <c r="I16" s="29" t="n">
        <v>0.052</v>
      </c>
    </row>
    <row r="17" customFormat="false" ht="15" hidden="false" customHeight="false" outlineLevel="0" collapsed="false">
      <c r="A17" s="10" t="s">
        <v>497</v>
      </c>
      <c r="B17" s="10" t="s">
        <v>273</v>
      </c>
      <c r="C17" s="10" t="n">
        <v>0.16</v>
      </c>
      <c r="D17" s="10" t="n">
        <v>2.7</v>
      </c>
      <c r="E17" s="29" t="n">
        <v>-0.1374</v>
      </c>
      <c r="F17" s="29" t="n">
        <v>-0.288</v>
      </c>
      <c r="G17" s="29" t="n">
        <v>0.0045</v>
      </c>
      <c r="H17" s="29" t="n">
        <v>0.058</v>
      </c>
      <c r="I17" s="29" t="n">
        <v>0.048</v>
      </c>
    </row>
    <row r="18" customFormat="false" ht="15" hidden="false" customHeight="false" outlineLevel="0" collapsed="false">
      <c r="A18" s="10" t="s">
        <v>498</v>
      </c>
      <c r="B18" s="10" t="s">
        <v>268</v>
      </c>
      <c r="C18" s="10" t="n">
        <v>0.08</v>
      </c>
      <c r="D18" s="10" t="n">
        <v>3.6</v>
      </c>
      <c r="E18" s="29" t="n">
        <v>0.2184</v>
      </c>
      <c r="F18" s="29" t="n">
        <v>0.1365</v>
      </c>
      <c r="G18" s="29" t="n">
        <v>0.3014</v>
      </c>
      <c r="H18" s="29" t="n">
        <v>1</v>
      </c>
      <c r="I18" s="29" t="n">
        <v>0.162</v>
      </c>
    </row>
    <row r="19" customFormat="false" ht="15" hidden="false" customHeight="false" outlineLevel="0" collapsed="false">
      <c r="A19" s="10" t="s">
        <v>498</v>
      </c>
      <c r="B19" s="10" t="s">
        <v>268</v>
      </c>
      <c r="C19" s="10" t="n">
        <v>0.08</v>
      </c>
      <c r="D19" s="10" t="n">
        <v>4.5</v>
      </c>
      <c r="E19" s="29" t="n">
        <v>0.1967</v>
      </c>
      <c r="F19" s="29" t="n">
        <v>0.1168</v>
      </c>
      <c r="G19" s="29" t="n">
        <v>0.2811</v>
      </c>
      <c r="H19" s="29" t="n">
        <v>1</v>
      </c>
      <c r="I19" s="29" t="n">
        <v>0.102</v>
      </c>
    </row>
    <row r="20" customFormat="false" ht="15" hidden="false" customHeight="false" outlineLevel="0" collapsed="false">
      <c r="A20" s="10" t="s">
        <v>498</v>
      </c>
      <c r="B20" s="10" t="s">
        <v>268</v>
      </c>
      <c r="C20" s="10" t="n">
        <v>0.08</v>
      </c>
      <c r="D20" s="10" t="n">
        <v>5.4</v>
      </c>
      <c r="E20" s="29" t="n">
        <v>0.1753</v>
      </c>
      <c r="F20" s="29" t="n">
        <v>0.0944</v>
      </c>
      <c r="G20" s="29" t="n">
        <v>0.2617</v>
      </c>
      <c r="H20" s="29" t="n">
        <v>1</v>
      </c>
      <c r="I20" s="29" t="n">
        <v>0.049</v>
      </c>
    </row>
    <row r="21" customFormat="false" ht="15" hidden="false" customHeight="false" outlineLevel="0" collapsed="false">
      <c r="A21" s="10" t="s">
        <v>498</v>
      </c>
      <c r="B21" s="10" t="s">
        <v>268</v>
      </c>
      <c r="C21" s="10" t="n">
        <v>0.11</v>
      </c>
      <c r="D21" s="10" t="n">
        <v>3.6</v>
      </c>
      <c r="E21" s="29" t="n">
        <v>0.1985</v>
      </c>
      <c r="F21" s="29" t="n">
        <v>0.1176</v>
      </c>
      <c r="G21" s="29" t="n">
        <v>0.2801</v>
      </c>
      <c r="H21" s="29" t="n">
        <v>1</v>
      </c>
      <c r="I21" s="29" t="n">
        <v>0.1</v>
      </c>
    </row>
    <row r="22" customFormat="false" ht="15" hidden="false" customHeight="false" outlineLevel="0" collapsed="false">
      <c r="A22" s="10" t="s">
        <v>498</v>
      </c>
      <c r="B22" s="10" t="s">
        <v>268</v>
      </c>
      <c r="C22" s="10" t="n">
        <v>0.11</v>
      </c>
      <c r="D22" s="10" t="n">
        <v>4.5</v>
      </c>
      <c r="E22" s="29" t="n">
        <v>0.1758</v>
      </c>
      <c r="F22" s="29" t="n">
        <v>0.095</v>
      </c>
      <c r="G22" s="29" t="n">
        <v>0.2635</v>
      </c>
      <c r="H22" s="29" t="n">
        <v>1</v>
      </c>
      <c r="I22" s="29" t="n">
        <v>0.05</v>
      </c>
    </row>
    <row r="23" customFormat="false" ht="15" hidden="false" customHeight="false" outlineLevel="0" collapsed="false">
      <c r="A23" s="10" t="s">
        <v>498</v>
      </c>
      <c r="B23" s="10" t="s">
        <v>268</v>
      </c>
      <c r="C23" s="10" t="n">
        <v>0.11</v>
      </c>
      <c r="D23" s="10" t="n">
        <v>5.4</v>
      </c>
      <c r="E23" s="29" t="n">
        <v>0.152</v>
      </c>
      <c r="F23" s="29" t="n">
        <v>0.0638</v>
      </c>
      <c r="G23" s="29" t="n">
        <v>0.2417</v>
      </c>
      <c r="H23" s="29" t="n">
        <v>0.998</v>
      </c>
      <c r="I23" s="29" t="n">
        <v>0.053</v>
      </c>
    </row>
    <row r="24" customFormat="false" ht="15" hidden="false" customHeight="false" outlineLevel="0" collapsed="false">
      <c r="A24" s="10" t="s">
        <v>498</v>
      </c>
      <c r="B24" s="10" t="s">
        <v>268</v>
      </c>
      <c r="C24" s="10" t="n">
        <v>0.14</v>
      </c>
      <c r="D24" s="10" t="n">
        <v>3.6</v>
      </c>
      <c r="E24" s="29" t="n">
        <v>0.1848</v>
      </c>
      <c r="F24" s="29" t="n">
        <v>0.1044</v>
      </c>
      <c r="G24" s="29" t="n">
        <v>0.2717</v>
      </c>
      <c r="H24" s="29" t="n">
        <v>1</v>
      </c>
      <c r="I24" s="29" t="n">
        <v>0.058</v>
      </c>
    </row>
    <row r="25" customFormat="false" ht="15" hidden="false" customHeight="false" outlineLevel="0" collapsed="false">
      <c r="A25" s="10" t="s">
        <v>498</v>
      </c>
      <c r="B25" s="10" t="s">
        <v>268</v>
      </c>
      <c r="C25" s="10" t="n">
        <v>0.14</v>
      </c>
      <c r="D25" s="10" t="n">
        <v>4.5</v>
      </c>
      <c r="E25" s="29" t="n">
        <v>0.1614</v>
      </c>
      <c r="F25" s="29" t="n">
        <v>0.0705</v>
      </c>
      <c r="G25" s="29" t="n">
        <v>0.2525</v>
      </c>
      <c r="H25" s="29" t="n">
        <v>0.998</v>
      </c>
      <c r="I25" s="29" t="n">
        <v>0.062</v>
      </c>
    </row>
    <row r="26" customFormat="false" ht="15" hidden="false" customHeight="false" outlineLevel="0" collapsed="false">
      <c r="A26" s="10" t="s">
        <v>498</v>
      </c>
      <c r="B26" s="10" t="s">
        <v>273</v>
      </c>
      <c r="C26" s="10" t="n">
        <v>0.08</v>
      </c>
      <c r="D26" s="10" t="n">
        <v>1.8</v>
      </c>
      <c r="E26" s="29" t="n">
        <v>0.178</v>
      </c>
      <c r="F26" s="29" t="n">
        <v>0.0898</v>
      </c>
      <c r="G26" s="29" t="n">
        <v>0.2668</v>
      </c>
      <c r="H26" s="29" t="n">
        <v>0.999</v>
      </c>
      <c r="I26" s="29" t="n">
        <v>0.169</v>
      </c>
    </row>
    <row r="27" customFormat="false" ht="15" hidden="false" customHeight="false" outlineLevel="0" collapsed="false">
      <c r="A27" s="10" t="s">
        <v>498</v>
      </c>
      <c r="B27" s="10" t="s">
        <v>273</v>
      </c>
      <c r="C27" s="10" t="n">
        <v>0.08</v>
      </c>
      <c r="D27" s="10" t="n">
        <v>2.7</v>
      </c>
      <c r="E27" s="29" t="n">
        <v>0.174</v>
      </c>
      <c r="F27" s="29" t="n">
        <v>0.0917</v>
      </c>
      <c r="G27" s="29" t="n">
        <v>0.2601</v>
      </c>
      <c r="H27" s="29" t="n">
        <v>1</v>
      </c>
      <c r="I27" s="29" t="n">
        <v>0.085</v>
      </c>
    </row>
    <row r="28" customFormat="false" ht="15" hidden="false" customHeight="false" outlineLevel="0" collapsed="false">
      <c r="A28" s="10" t="s">
        <v>498</v>
      </c>
      <c r="B28" s="10" t="s">
        <v>273</v>
      </c>
      <c r="C28" s="10" t="n">
        <v>0.08</v>
      </c>
      <c r="D28" s="10" t="n">
        <v>3.6</v>
      </c>
      <c r="E28" s="29" t="n">
        <v>0.1566</v>
      </c>
      <c r="F28" s="29" t="n">
        <v>0.0741</v>
      </c>
      <c r="G28" s="29" t="n">
        <v>0.2453</v>
      </c>
      <c r="H28" s="29" t="n">
        <v>0.999</v>
      </c>
      <c r="I28" s="29" t="n">
        <v>0.047</v>
      </c>
    </row>
    <row r="29" customFormat="false" ht="15" hidden="false" customHeight="false" outlineLevel="0" collapsed="false">
      <c r="A29" s="10" t="s">
        <v>498</v>
      </c>
      <c r="B29" s="10" t="s">
        <v>273</v>
      </c>
      <c r="C29" s="10" t="n">
        <v>0.12</v>
      </c>
      <c r="D29" s="10" t="n">
        <v>1.8</v>
      </c>
      <c r="E29" s="29" t="n">
        <v>0.0999</v>
      </c>
      <c r="F29" s="29" t="n">
        <v>0.0025</v>
      </c>
      <c r="G29" s="29" t="n">
        <v>0.2036</v>
      </c>
      <c r="H29" s="29" t="n">
        <v>0.955</v>
      </c>
      <c r="I29" s="29" t="n">
        <v>0.074</v>
      </c>
    </row>
    <row r="30" customFormat="false" ht="15" hidden="false" customHeight="false" outlineLevel="0" collapsed="false">
      <c r="A30" s="10" t="s">
        <v>498</v>
      </c>
      <c r="B30" s="10" t="s">
        <v>273</v>
      </c>
      <c r="C30" s="10" t="n">
        <v>0.12</v>
      </c>
      <c r="D30" s="10" t="n">
        <v>2.7</v>
      </c>
      <c r="E30" s="29" t="n">
        <v>0.1203</v>
      </c>
      <c r="F30" s="29" t="n">
        <v>0.0345</v>
      </c>
      <c r="G30" s="29" t="n">
        <v>0.212</v>
      </c>
      <c r="H30" s="29" t="n">
        <v>0.993</v>
      </c>
      <c r="I30" s="29" t="n">
        <v>0.049</v>
      </c>
    </row>
    <row r="31" customFormat="false" ht="15" hidden="false" customHeight="false" outlineLevel="0" collapsed="false">
      <c r="A31" s="10" t="s">
        <v>498</v>
      </c>
      <c r="B31" s="10" t="s">
        <v>273</v>
      </c>
      <c r="C31" s="10" t="n">
        <v>0.12</v>
      </c>
      <c r="D31" s="10" t="n">
        <v>3.6</v>
      </c>
      <c r="E31" s="29" t="n">
        <v>0.0969</v>
      </c>
      <c r="F31" s="29" t="n">
        <v>0.0021</v>
      </c>
      <c r="G31" s="29" t="n">
        <v>0.1938</v>
      </c>
      <c r="H31" s="29" t="n">
        <v>0.954</v>
      </c>
      <c r="I31" s="29" t="n">
        <v>0.046</v>
      </c>
    </row>
    <row r="32" customFormat="false" ht="15" hidden="false" customHeight="false" outlineLevel="0" collapsed="false">
      <c r="A32" s="10" t="s">
        <v>498</v>
      </c>
      <c r="B32" s="10" t="s">
        <v>273</v>
      </c>
      <c r="C32" s="10" t="n">
        <v>0.16</v>
      </c>
      <c r="D32" s="10" t="n">
        <v>1.8</v>
      </c>
      <c r="E32" s="29" t="n">
        <v>0.0654</v>
      </c>
      <c r="F32" s="29" t="n">
        <v>-0.0352</v>
      </c>
      <c r="G32" s="29" t="n">
        <v>0.1748</v>
      </c>
      <c r="H32" s="29" t="n">
        <v>0.85</v>
      </c>
      <c r="I32" s="29" t="n">
        <v>0.052</v>
      </c>
    </row>
    <row r="33" customFormat="false" ht="15" hidden="false" customHeight="false" outlineLevel="0" collapsed="false">
      <c r="A33" s="10" t="s">
        <v>498</v>
      </c>
      <c r="B33" s="10" t="s">
        <v>273</v>
      </c>
      <c r="C33" s="10" t="n">
        <v>0.16</v>
      </c>
      <c r="D33" s="10" t="n">
        <v>2.7</v>
      </c>
      <c r="E33" s="29" t="n">
        <v>0.0288</v>
      </c>
      <c r="F33" s="29" t="n">
        <v>-0.0961</v>
      </c>
      <c r="G33" s="29" t="n">
        <v>0.1474</v>
      </c>
      <c r="H33" s="29" t="n">
        <v>0.639</v>
      </c>
      <c r="I33" s="29" t="n">
        <v>0.048</v>
      </c>
    </row>
    <row r="36" customFormat="false" ht="45" hidden="false" customHeight="true" outlineLevel="0" collapsed="false">
      <c r="A36" s="4" t="s">
        <v>36</v>
      </c>
      <c r="B36" s="4" t="s">
        <v>499</v>
      </c>
      <c r="C36" s="4" t="s">
        <v>500</v>
      </c>
    </row>
    <row r="37" customFormat="false" ht="15" hidden="false" customHeight="false" outlineLevel="0" collapsed="false">
      <c r="A37" s="6" t="s">
        <v>183</v>
      </c>
      <c r="B37" s="29" t="n">
        <v>-0.1544</v>
      </c>
      <c r="C37" s="29" t="n">
        <v>-0.2241</v>
      </c>
    </row>
    <row r="38" customFormat="false" ht="15" hidden="false" customHeight="false" outlineLevel="0" collapsed="false">
      <c r="A38" s="6" t="s">
        <v>191</v>
      </c>
      <c r="B38" s="29" t="n">
        <v>-0.0669</v>
      </c>
      <c r="C38" s="29" t="n">
        <v>-0.1162</v>
      </c>
    </row>
    <row r="39" customFormat="false" ht="15" hidden="false" customHeight="false" outlineLevel="0" collapsed="false">
      <c r="A39" s="6" t="s">
        <v>157</v>
      </c>
      <c r="B39" s="29" t="n">
        <v>0.1121</v>
      </c>
      <c r="C39" s="29" t="n">
        <v>0.1471</v>
      </c>
    </row>
    <row r="40" customFormat="false" ht="15" hidden="false" customHeight="false" outlineLevel="0" collapsed="false">
      <c r="A40" s="6" t="s">
        <v>174</v>
      </c>
      <c r="B40" s="29" t="n">
        <v>-0.0135</v>
      </c>
      <c r="C40" s="29" t="n">
        <v>0.0005</v>
      </c>
    </row>
    <row r="41" customFormat="false" ht="15" hidden="false" customHeight="false" outlineLevel="0" collapsed="false">
      <c r="A41" s="6" t="s">
        <v>145</v>
      </c>
      <c r="B41" s="29" t="n">
        <v>0.0391</v>
      </c>
      <c r="C41" s="29" t="n">
        <v>0.0813</v>
      </c>
    </row>
    <row r="42" customFormat="false" ht="15" hidden="false" customHeight="false" outlineLevel="0" collapsed="false">
      <c r="A42" s="6" t="s">
        <v>141</v>
      </c>
      <c r="B42" s="29" t="n">
        <v>-0.0216</v>
      </c>
      <c r="C42" s="29" t="n">
        <v>-0.0086</v>
      </c>
    </row>
    <row r="43" customFormat="false" ht="15" hidden="false" customHeight="false" outlineLevel="0" collapsed="false">
      <c r="A43" s="6" t="s">
        <v>109</v>
      </c>
      <c r="B43" s="29" t="n">
        <v>0.0213</v>
      </c>
      <c r="C43" s="29" t="n">
        <v>0.0389</v>
      </c>
    </row>
    <row r="44" customFormat="false" ht="15" hidden="false" customHeight="false" outlineLevel="0" collapsed="false">
      <c r="A44" s="6" t="s">
        <v>107</v>
      </c>
      <c r="B44" s="29" t="n">
        <v>0.0913</v>
      </c>
      <c r="C44" s="29" t="n">
        <v>0.1415</v>
      </c>
    </row>
    <row r="45" customFormat="false" ht="15" hidden="false" customHeight="false" outlineLevel="0" collapsed="false">
      <c r="A45" s="6" t="s">
        <v>73</v>
      </c>
      <c r="B45" s="29" t="n">
        <v>0.0651</v>
      </c>
      <c r="C45" s="29" t="n">
        <v>0.1085</v>
      </c>
    </row>
    <row r="46" customFormat="false" ht="15" hidden="false" customHeight="false" outlineLevel="0" collapsed="false">
      <c r="A46" s="6" t="s">
        <v>77</v>
      </c>
      <c r="B46" s="29" t="n">
        <v>0.0287</v>
      </c>
      <c r="C46" s="29" t="n">
        <v>0.0314</v>
      </c>
    </row>
    <row r="47" customFormat="false" ht="15" hidden="false" customHeight="false" outlineLevel="0" collapsed="false">
      <c r="A47" s="6" t="s">
        <v>85</v>
      </c>
      <c r="B47" s="29" t="n">
        <v>0.1925</v>
      </c>
      <c r="C47" s="29" t="n">
        <v>0.2042</v>
      </c>
    </row>
    <row r="48" customFormat="false" ht="15" hidden="false" customHeight="false" outlineLevel="0" collapsed="false">
      <c r="A48" s="6" t="s">
        <v>172</v>
      </c>
      <c r="B48" s="29" t="n">
        <v>0.025</v>
      </c>
      <c r="C48" s="29" t="n">
        <v>0.0079</v>
      </c>
    </row>
    <row r="49" customFormat="false" ht="15" hidden="false" customHeight="false" outlineLevel="0" collapsed="false">
      <c r="A49" s="6" t="s">
        <v>138</v>
      </c>
      <c r="B49" s="29" t="n">
        <v>0.0174</v>
      </c>
      <c r="C49" s="29" t="n">
        <v>0.0092</v>
      </c>
    </row>
    <row r="50" customFormat="false" ht="15" hidden="false" customHeight="false" outlineLevel="0" collapsed="false">
      <c r="A50" s="6" t="s">
        <v>83</v>
      </c>
      <c r="B50" s="29" t="n">
        <v>0.0042</v>
      </c>
      <c r="C50" s="29" t="n">
        <v>0.0018</v>
      </c>
    </row>
    <row r="51" customFormat="false" ht="15" hidden="false" customHeight="false" outlineLevel="0" collapsed="false">
      <c r="A51" s="6" t="s">
        <v>163</v>
      </c>
      <c r="B51" s="29" t="n">
        <v>-0.0672</v>
      </c>
      <c r="C51" s="29" t="n">
        <v>-0.1007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2026-10-18T11:17:57Z</dcterms:created>
  <dc:creator>openpyxl</dc:creator>
  <dc:description/>
  <dc:language>en-US</dc:language>
  <cp:lastModifiedBy/>
  <dcterms:modified xsi:type="dcterms:W3CDTF">2026-10-18T11:18:02Z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