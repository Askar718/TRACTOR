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0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Описание" sheetId="1" state="visible" r:id="rId3"/>
    <sheet name="Исходные" sheetId="2" state="visible" r:id="rId4"/>
    <sheet name="Проходы" sheetId="3" state="visible" r:id="rId5"/>
    <sheet name="Модели" sheetId="4" state="visible" r:id="rId6"/>
    <sheet name="Опыт_режимы" sheetId="5" state="visible" r:id="rId7"/>
    <sheet name="Энергетика" sheetId="6" state="visible" r:id="rId8"/>
    <sheet name="Смена" sheetId="7" state="visible" r:id="rId9"/>
    <sheet name="Экономика" sheetId="8" state="visible" r:id="rId10"/>
    <sheet name="Веса" sheetId="9" state="visible" r:id="rId11"/>
    <sheet name="Показатели" sheetId="10" state="visible" r:id="rId12"/>
    <sheet name="Энтропия" sheetId="11" state="visible" r:id="rId13"/>
    <sheet name="Устойчивость" sheetId="12" state="visible" r:id="rId14"/>
  </sheets>
  <definedNames>
    <definedName function="false" hidden="false" name="alpha_w" vbProcedure="false">Исходные!$C$56</definedName>
    <definedName function="false" hidden="false" name="ASAE_RF1" vbProcedure="false">Исходные!$C$44</definedName>
    <definedName function="false" hidden="false" name="ASAE_RF2" vbProcedure="false">Исходные!$C$45</definedName>
    <definedName function="false" hidden="false" name="A_0" vbProcedure="false">Модели!$C$11</definedName>
    <definedName function="false" hidden="false" name="A_a" vbProcedure="false">Модели!$C$13</definedName>
    <definedName function="false" hidden="false" name="A_v" vbProcedure="false">Модели!$C$12</definedName>
    <definedName function="false" hidden="false" name="bat_cal_y" vbProcedure="false">Исходные!$C$49</definedName>
    <definedName function="false" hidden="false" name="bat_cycles" vbProcedure="false">Исходные!$C$48</definedName>
    <definedName function="false" hidden="false" name="bat_usd_kWh" vbProcedure="false">Исходные!$C$47</definedName>
    <definedName function="false" hidden="false" name="cv_P" vbProcedure="false">Модели!$C$15</definedName>
    <definedName function="false" hidden="false" name="C_bat" vbProcedure="false">Исходные!$C$72</definedName>
    <definedName function="false" hidden="false" name="c_D" vbProcedure="false">Исходные!$C$36</definedName>
    <definedName function="false" hidden="false" name="c_el" vbProcedure="false">Исходные!$C$35</definedName>
    <definedName function="false" hidden="false" name="c_move" vbProcedure="false">Модели!$C$9</definedName>
    <definedName function="false" hidden="false" name="delta_0" vbProcedure="false">Модели!$C$6</definedName>
    <definedName function="false" hidden="false" name="EF_D" vbProcedure="false">Исходные!$C$51</definedName>
    <definedName function="false" hidden="false" name="EF_grid" vbProcedure="false">Исходные!$C$50</definedName>
    <definedName function="false" hidden="false" name="eps" vbProcedure="false">Модели!$C$4</definedName>
    <definedName function="false" hidden="false" name="eta_bat" vbProcedure="false">Исходные!$C$24</definedName>
    <definedName function="false" hidden="false" name="eta_ch" vbProcedure="false">Исходные!$C$23</definedName>
    <definedName function="false" hidden="false" name="eta_ep" vbProcedure="false">Исходные!$C$11</definedName>
    <definedName function="false" hidden="false" name="eta_tr" vbProcedure="false">Исходные!$C$12</definedName>
    <definedName function="false" hidden="false" name="E_bat_kWh" vbProcedure="false">Исходные!$C$5</definedName>
    <definedName function="false" hidden="false" name="E_tr" vbProcedure="false">Исходные!$C$62</definedName>
    <definedName function="false" hidden="false" name="E_use" vbProcedure="false">Исходные!$C$59</definedName>
    <definedName function="false" hidden="false" name="f_roll" vbProcedure="false">Модели!$C$2</definedName>
    <definedName function="false" hidden="false" name="g" vbProcedure="false">Исходные!$C$4</definedName>
    <definedName function="false" hidden="false" name="h_month" vbProcedure="false">Исходные!$C$38</definedName>
    <definedName function="false" hidden="false" name="k_0" vbProcedure="false">Модели!$C$3</definedName>
    <definedName function="false" hidden="false" name="k_CRF" vbProcedure="false">Исходные!$C$70</definedName>
    <definedName function="false" hidden="false" name="k_D" vbProcedure="false">Исходные!$C$16</definedName>
    <definedName function="false" hidden="false" name="k_landed" vbProcedure="false">Исходные!$C$34</definedName>
    <definedName function="false" hidden="false" name="k_pto_D" vbProcedure="false">Исходные!$C$15</definedName>
    <definedName function="false" hidden="false" name="k_RM_ET" vbProcedure="false">Исходные!$C$46</definedName>
    <definedName function="false" hidden="false" name="k_SFF" vbProcedure="false">Исходные!$C$71</definedName>
    <definedName function="false" hidden="false" name="k_slip" vbProcedure="false">Модели!$C$8</definedName>
    <definedName function="false" hidden="false" name="k_soc" vbProcedure="false">Исходные!$C$39</definedName>
    <definedName function="false" hidden="false" name="LHV_D" vbProcedure="false">Исходные!$C$19</definedName>
    <definedName function="false" hidden="false" name="life_y" vbProcedure="false">Исходные!$C$41</definedName>
    <definedName function="false" hidden="false" name="l_charge_km" vbProcedure="false">Исходные!$C$28</definedName>
    <definedName function="false" hidden="false" name="L_run_m" vbProcedure="false">Исходные!$C$27</definedName>
    <definedName function="false" hidden="false" name="m_D" vbProcedure="false">Исходные!$C$3</definedName>
    <definedName function="false" hidden="false" name="m_ET" vbProcedure="false">Исходные!$C$2</definedName>
    <definedName function="false" hidden="false" name="PEF_D" vbProcedure="false">Исходные!$C$53</definedName>
    <definedName function="false" hidden="false" name="PEF_el" vbProcedure="false">Исходные!$C$52</definedName>
    <definedName function="false" hidden="false" name="phi_max" vbProcedure="false">Модели!$C$7</definedName>
    <definedName function="false" hidden="false" name="price_D" vbProcedure="false">Исходные!$C$67</definedName>
    <definedName function="false" hidden="false" name="price_D_usd" vbProcedure="false">Исходные!$C$33</definedName>
    <definedName function="false" hidden="false" name="price_ET" vbProcedure="false">Исходные!$C$66</definedName>
    <definedName function="false" hidden="false" name="price_ET_usd" vbProcedure="false">Исходные!$C$32</definedName>
    <definedName function="false" hidden="false" name="P_aux" vbProcedure="false">Исходные!$C$10</definedName>
    <definedName function="false" hidden="false" name="P_ch_ac" vbProcedure="false">Исходные!$C$22</definedName>
    <definedName function="false" hidden="false" name="P_el_lim" vbProcedure="false">Исходные!$C$8</definedName>
    <definedName function="false" hidden="false" name="P_e_nom_D" vbProcedure="false">Исходные!$C$14</definedName>
    <definedName function="false" hidden="false" name="P_hyd_idle_D" vbProcedure="false">Исходные!$C$13</definedName>
    <definedName function="false" hidden="false" name="P_mot_1h" vbProcedure="false">Исходные!$C$9</definedName>
    <definedName function="false" hidden="false" name="P_pto_nom" vbProcedure="false">Исходные!$C$64</definedName>
    <definedName function="false" hidden="false" name="P_rot0" vbProcedure="false">Модели!$C$10</definedName>
    <definedName function="false" hidden="false" name="P_transp_kW" vbProcedure="false">Исходные!$C$30</definedName>
    <definedName function="false" hidden="false" name="Q_tr" vbProcedure="false">Исходные!$C$74</definedName>
    <definedName function="false" hidden="false" name="Q_turn" vbProcedure="false">Исходные!$C$73</definedName>
    <definedName function="false" hidden="false" name="R2_k" vbProcedure="false">Модели!$C$5</definedName>
    <definedName function="false" hidden="false" name="rm_h_D" vbProcedure="false">Исходные!$C$69</definedName>
    <definedName function="false" hidden="false" name="r_disc" vbProcedure="false">Исходные!$C$42</definedName>
    <definedName function="false" hidden="false" name="salvage" vbProcedure="false">Исходные!$C$43</definedName>
    <definedName function="false" hidden="false" name="sfc_a" vbProcedure="false">Исходные!$C$17</definedName>
    <definedName function="false" hidden="false" name="sfc_b" vbProcedure="false">Исходные!$C$18</definedName>
    <definedName function="false" hidden="false" name="slip_max" vbProcedure="false">Исходные!$C$54</definedName>
    <definedName function="false" hidden="false" name="slip_till" vbProcedure="false">Модели!$C$14</definedName>
    <definedName function="false" hidden="false" name="SOC_max" vbProcedure="false">Исходные!$C$6</definedName>
    <definedName function="false" hidden="false" name="SOC_min" vbProcedure="false">Исходные!$C$7</definedName>
    <definedName function="false" hidden="false" name="S_task" vbProcedure="false">Исходные!$C$55</definedName>
    <definedName function="false" hidden="false" name="tank_D" vbProcedure="false">Исходные!$C$20</definedName>
    <definedName function="false" hidden="false" name="tau_svc" vbProcedure="false">Исходные!$C$26</definedName>
    <definedName function="false" hidden="false" name="turn_P" vbProcedure="false">Модели!$C$17</definedName>
    <definedName function="false" hidden="false" name="turn_t" vbProcedure="false">Модели!$C$16</definedName>
    <definedName function="false" hidden="false" name="T_av" vbProcedure="false">Исходные!$C$60</definedName>
    <definedName function="false" hidden="false" name="t_ch" vbProcedure="false">Исходные!$C$63</definedName>
    <definedName function="false" hidden="false" name="T_life" vbProcedure="false">Исходные!$C$68</definedName>
    <definedName function="false" hidden="false" name="t_refuel_h" vbProcedure="false">Исходные!$C$21</definedName>
    <definedName function="false" hidden="false" name="T_shift_h" vbProcedure="false">Исходные!$C$25</definedName>
    <definedName function="false" hidden="false" name="t_tr" vbProcedure="false">Исходные!$C$61</definedName>
    <definedName function="false" hidden="false" name="T_year_h" vbProcedure="false">Исходные!$C$40</definedName>
    <definedName function="false" hidden="false" name="usd_kzt" vbProcedure="false">Исходные!$C$31</definedName>
    <definedName function="false" hidden="false" name="v_transp_kmh" vbProcedure="false">Исходные!$C$29</definedName>
    <definedName function="false" hidden="false" name="wage_h" vbProcedure="false">Исходные!$C$65</definedName>
    <definedName function="false" hidden="false" name="wage_month" vbProcedure="false">Исходные!$C$37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<sst xmlns="http://schemas.openxmlformats.org/spreadsheetml/2006/main" count="967" uniqueCount="500">
  <si>
    <t xml:space="preserve">РАСЧЁТЫ К ОТЧЁТУ О НИР</t>
  </si>
  <si>
    <t xml:space="preserve">Рабочая книга</t>
  </si>
  <si>
    <t xml:space="preserve">Сравнительная оценка электротрактора JINMA YL254ET (ЭТ) и дизельного аналога JINMA JM-254 (Д) по результатам полевых испытаний 15.09–15.10.2026</t>
  </si>
  <si>
    <t xml:space="preserve">Назначение</t>
  </si>
  <si>
    <t xml:space="preserve">Расчёт показателей обеих машин, нормированных преимуществ, весов (МАИ + энтропийный метод) и интегрального индекса I для 16 исследованных режимов; пересчёт при изменении исходных данных</t>
  </si>
  <si>
    <t xml:space="preserve">Как пользоваться</t>
  </si>
  <si>
    <t xml:space="preserve">Изменяйте только ячейки с синим шрифтом на жёлтом фоне на листах «Исходные» и «Веса». Все остальные значения пересчитываются формулами</t>
  </si>
  <si>
    <t xml:space="preserve">Ключевые рычаги</t>
  </si>
  <si>
    <t xml:space="preserve">S_task (сменное задание; 0 — полная смена), T_year_h (годовая загрузка), c_D и c_el (цены), l_charge_km (удалённость зарядки), P_ch_ac (мощность зарядки), цены машин</t>
  </si>
  <si>
    <t xml:space="preserve">Цвета</t>
  </si>
  <si>
    <t xml:space="preserve">синий шрифт — исходные данные; чёрный — формулы; зелёный — ссылки на другие листы; жёлтая заливка — изменяемые ячейки</t>
  </si>
  <si>
    <t xml:space="preserve">Лист «Исходные»</t>
  </si>
  <si>
    <t xml:space="preserve">исходные данные и допущения с источниками и диапазонами вариации (именованные ячейки)</t>
  </si>
  <si>
    <t xml:space="preserve">Лист «Проходы»</t>
  </si>
  <si>
    <t xml:space="preserve">результаты зачётных проходов (значения из журналов CAN 1 Гц и полевых журналов) и расчётные показатели проходов (формулы)</t>
  </si>
  <si>
    <t xml:space="preserve">Лист «Опыт_режимы»</t>
  </si>
  <si>
    <t xml:space="preserve">средние по повторностям, стандартные отклонения, доверительные интервалы (формулы AVERAGEIFS и т. п.)</t>
  </si>
  <si>
    <t xml:space="preserve">Лист «Модели»</t>
  </si>
  <si>
    <t xml:space="preserve">коэффициенты моделей: сопротивление качению, k = k0 + ε·v² (ЛИНЕЙН), A = A0 + Av·v + Aa·a (ЛИНЕЙН), тяговая характеристика</t>
  </si>
  <si>
    <t xml:space="preserve">Лист «Энергетика»</t>
  </si>
  <si>
    <t xml:space="preserve">мощности ЭТ и Д, буксование, резерв мощности, допустимость режимов, часовой расход топлива Д (ASAE D497.7)</t>
  </si>
  <si>
    <t xml:space="preserve">Лист «Смена»</t>
  </si>
  <si>
    <t xml:space="preserve">модель смены: развороты, автономность, подзарядки (до трёх циклов), сменная выработка, энергия из сети, расход топлива на 1 га</t>
  </si>
  <si>
    <t xml:space="preserve">Лист «Экономика»</t>
  </si>
  <si>
    <t xml:space="preserve">удельные прямые и совокупные затраты (ГОСТ 34393-2018, ASAE D497.7)</t>
  </si>
  <si>
    <t xml:space="preserve">Лист «Показатели»</t>
  </si>
  <si>
    <t xml:space="preserve">показатели I1–I10 обеих машин, нормированные преимущества d и интегральный индекс I</t>
  </si>
  <si>
    <t xml:space="preserve">Лист «Веса»</t>
  </si>
  <si>
    <t xml:space="preserve">матрицы парных сравнений МАИ (изменяемые), веса, согласованность; итоговые веса</t>
  </si>
  <si>
    <t xml:space="preserve">Лист «Энтропия»</t>
  </si>
  <si>
    <t xml:space="preserve">энтропийные веса по матрице показателей режимов, реализуемых обеими машинами</t>
  </si>
  <si>
    <t xml:space="preserve">Лист «Устойчивость»</t>
  </si>
  <si>
    <t xml:space="preserve">результаты Монте-Карло (1000 испытаний) и чувствительности — значения из программного комплекса Python (требуют многократного пересчёта)</t>
  </si>
  <si>
    <t xml:space="preserve">Проверка</t>
  </si>
  <si>
    <t xml:space="preserve">при исходных данных по умолчанию значения индекса совпадают с отчётом (таблица 5.6, сценарий 1); расхождение собственного вектора МАИ и метода геометрического среднего &lt; 0,001</t>
  </si>
  <si>
    <t xml:space="preserve">Обозначение (имя)</t>
  </si>
  <si>
    <t xml:space="preserve">Параметр</t>
  </si>
  <si>
    <t xml:space="preserve">Значение</t>
  </si>
  <si>
    <t xml:space="preserve">Ед.</t>
  </si>
  <si>
    <t xml:space="preserve">Статус, источник</t>
  </si>
  <si>
    <t xml:space="preserve">Мин.</t>
  </si>
  <si>
    <t xml:space="preserve">Макс.</t>
  </si>
  <si>
    <t xml:space="preserve">m_ET</t>
  </si>
  <si>
    <t xml:space="preserve">Масса ЭТ</t>
  </si>
  <si>
    <t xml:space="preserve">кг</t>
  </si>
  <si>
    <t xml:space="preserve">паспорт изготовителя</t>
  </si>
  <si>
    <t xml:space="preserve">m_D</t>
  </si>
  <si>
    <t xml:space="preserve">Масса Д</t>
  </si>
  <si>
    <t xml:space="preserve">TractorData.com</t>
  </si>
  <si>
    <t xml:space="preserve">g</t>
  </si>
  <si>
    <t xml:space="preserve">Ускорение свободного падения</t>
  </si>
  <si>
    <t xml:space="preserve">м/с²</t>
  </si>
  <si>
    <t xml:space="preserve">константа</t>
  </si>
  <si>
    <t xml:space="preserve">E_bat_kWh</t>
  </si>
  <si>
    <t xml:space="preserve">Энергоёмкость батареи</t>
  </si>
  <si>
    <t xml:space="preserve">кВт·ч</t>
  </si>
  <si>
    <t xml:space="preserve">304 А·ч × 76,8 В; подтверждено опытом</t>
  </si>
  <si>
    <t xml:space="preserve">SOC_max</t>
  </si>
  <si>
    <t xml:space="preserve">SOC после зарядки</t>
  </si>
  <si>
    <t xml:space="preserve">%</t>
  </si>
  <si>
    <t xml:space="preserve">опыт</t>
  </si>
  <si>
    <t xml:space="preserve">SOC_min</t>
  </si>
  <si>
    <t xml:space="preserve">Нижняя граница SOC</t>
  </si>
  <si>
    <t xml:space="preserve">порог предупреждения BMS (код 61)</t>
  </si>
  <si>
    <t xml:space="preserve">P_el_lim</t>
  </si>
  <si>
    <t xml:space="preserve">Предельная мощность от батареи</t>
  </si>
  <si>
    <t xml:space="preserve">кВт</t>
  </si>
  <si>
    <t xml:space="preserve">опыт (17,3–17,5 кВт)</t>
  </si>
  <si>
    <t xml:space="preserve">P_mot_1h</t>
  </si>
  <si>
    <t xml:space="preserve">Часовая мощность двигателя хода</t>
  </si>
  <si>
    <t xml:space="preserve">паспорт</t>
  </si>
  <si>
    <t xml:space="preserve">P_aux</t>
  </si>
  <si>
    <t xml:space="preserve">Собственное потребление систем</t>
  </si>
  <si>
    <t xml:space="preserve">eta_ep</t>
  </si>
  <si>
    <t xml:space="preserve">КПД электропривода</t>
  </si>
  <si>
    <t xml:space="preserve">–</t>
  </si>
  <si>
    <t xml:space="preserve">допущение</t>
  </si>
  <si>
    <t xml:space="preserve">eta_tr</t>
  </si>
  <si>
    <t xml:space="preserve">КПД трансмиссии</t>
  </si>
  <si>
    <t xml:space="preserve">P_hyd_idle_D</t>
  </si>
  <si>
    <t xml:space="preserve">Потери гидронасоса Д на холостом ходу</t>
  </si>
  <si>
    <t xml:space="preserve">P_e_nom_D</t>
  </si>
  <si>
    <t xml:space="preserve">Номинальная мощность двигателя Д</t>
  </si>
  <si>
    <t xml:space="preserve">k_pto_D</t>
  </si>
  <si>
    <t xml:space="preserve">Отношение P_ВОМ/P_е для Д</t>
  </si>
  <si>
    <t xml:space="preserve">k_D</t>
  </si>
  <si>
    <t xml:space="preserve">Поправка расхода топлива к ASAE D497.7</t>
  </si>
  <si>
    <t xml:space="preserve">допущение (1,0 — в пользу Д)</t>
  </si>
  <si>
    <t xml:space="preserve">sfc_a</t>
  </si>
  <si>
    <t xml:space="preserve">ASAE D497.7: коэффициент a</t>
  </si>
  <si>
    <t xml:space="preserve">л/(кВт·ч)</t>
  </si>
  <si>
    <t xml:space="preserve">ASAE D497.7</t>
  </si>
  <si>
    <t xml:space="preserve">sfc_b</t>
  </si>
  <si>
    <t xml:space="preserve">ASAE D497.7: коэффициент b</t>
  </si>
  <si>
    <t xml:space="preserve">LHV_D</t>
  </si>
  <si>
    <t xml:space="preserve">Теплота сгорания ДТ</t>
  </si>
  <si>
    <t xml:space="preserve">МДж/л</t>
  </si>
  <si>
    <t xml:space="preserve">справочное</t>
  </si>
  <si>
    <t xml:space="preserve">tank_D</t>
  </si>
  <si>
    <t xml:space="preserve">Топливный бак Д</t>
  </si>
  <si>
    <t xml:space="preserve">л</t>
  </si>
  <si>
    <t xml:space="preserve">t_refuel_h</t>
  </si>
  <si>
    <t xml:space="preserve">Время дозаправки</t>
  </si>
  <si>
    <t xml:space="preserve">ч</t>
  </si>
  <si>
    <t xml:space="preserve">P_ch_ac</t>
  </si>
  <si>
    <t xml:space="preserve">Мощность зарядного устройства</t>
  </si>
  <si>
    <t xml:space="preserve">допущение: разъём 16 А, 230 В</t>
  </si>
  <si>
    <t xml:space="preserve">eta_ch</t>
  </si>
  <si>
    <t xml:space="preserve">КПД зарядного устройства</t>
  </si>
  <si>
    <t xml:space="preserve">eta_bat</t>
  </si>
  <si>
    <t xml:space="preserve">КПД батареи (энергетический)</t>
  </si>
  <si>
    <t xml:space="preserve">T_shift_h</t>
  </si>
  <si>
    <t xml:space="preserve">Продолжительность смены</t>
  </si>
  <si>
    <t xml:space="preserve">принято</t>
  </si>
  <si>
    <t xml:space="preserve">tau_svc</t>
  </si>
  <si>
    <t xml:space="preserve">Доля смены на работу и переезды</t>
  </si>
  <si>
    <t xml:space="preserve">L_run_m</t>
  </si>
  <si>
    <t xml:space="preserve">Длина гона</t>
  </si>
  <si>
    <t xml:space="preserve">м</t>
  </si>
  <si>
    <t xml:space="preserve">l_charge_km</t>
  </si>
  <si>
    <t xml:space="preserve">Удалённость места зарядки</t>
  </si>
  <si>
    <t xml:space="preserve">км</t>
  </si>
  <si>
    <t xml:space="preserve">v_transp_kmh</t>
  </si>
  <si>
    <t xml:space="preserve">Скорость переезда</t>
  </si>
  <si>
    <t xml:space="preserve">км/ч</t>
  </si>
  <si>
    <t xml:space="preserve">P_transp_kW</t>
  </si>
  <si>
    <t xml:space="preserve">Мощность при переезде</t>
  </si>
  <si>
    <t xml:space="preserve">usd_kzt</t>
  </si>
  <si>
    <t xml:space="preserve">Курс доллара США</t>
  </si>
  <si>
    <t xml:space="preserve">тг</t>
  </si>
  <si>
    <t xml:space="preserve">НБРК, 18.10.2026</t>
  </si>
  <si>
    <t xml:space="preserve">price_ET_usd</t>
  </si>
  <si>
    <t xml:space="preserve">Цена ЭТ (FOB)</t>
  </si>
  <si>
    <t xml:space="preserve">$</t>
  </si>
  <si>
    <t xml:space="preserve">Made-in-China, Jiangsu Yueda</t>
  </si>
  <si>
    <t xml:space="preserve">price_D_usd</t>
  </si>
  <si>
    <t xml:space="preserve">Цена Д (FOB)</t>
  </si>
  <si>
    <t xml:space="preserve">Made-in-China, Jinma</t>
  </si>
  <si>
    <t xml:space="preserve">k_landed</t>
  </si>
  <si>
    <t xml:space="preserve">Коэффициент «FOB → цена у дилера»</t>
  </si>
  <si>
    <t xml:space="preserve">1,10 × 1,16 (НДС) × 1,15</t>
  </si>
  <si>
    <t xml:space="preserve">c_el</t>
  </si>
  <si>
    <t xml:space="preserve">Цена электроэнергии с НДС</t>
  </si>
  <si>
    <t xml:space="preserve">тг/(кВт·ч)</t>
  </si>
  <si>
    <t xml:space="preserve">ЭнергоСбыт АЖК с 12.09.2026</t>
  </si>
  <si>
    <t xml:space="preserve">c_D</t>
  </si>
  <si>
    <t xml:space="preserve">Цена дизельного топлива</t>
  </si>
  <si>
    <t xml:space="preserve">тг/л</t>
  </si>
  <si>
    <t xml:space="preserve">средняя розничная, сент.–окт. 2026</t>
  </si>
  <si>
    <t xml:space="preserve">wage_month</t>
  </si>
  <si>
    <t xml:space="preserve">Средняя зарплата в сельском хозяйстве</t>
  </si>
  <si>
    <t xml:space="preserve">тг/мес</t>
  </si>
  <si>
    <t xml:space="preserve">БНС АСПиР РК, II кв. 2026</t>
  </si>
  <si>
    <t xml:space="preserve">h_month</t>
  </si>
  <si>
    <t xml:space="preserve">Рабочих часов в месяце</t>
  </si>
  <si>
    <t xml:space="preserve">k_soc</t>
  </si>
  <si>
    <t xml:space="preserve">Коэффициент начислений на ФОТ</t>
  </si>
  <si>
    <t xml:space="preserve">T_year_h</t>
  </si>
  <si>
    <t xml:space="preserve">Годовая загрузка</t>
  </si>
  <si>
    <t xml:space="preserve">ч/год</t>
  </si>
  <si>
    <t xml:space="preserve">life_y</t>
  </si>
  <si>
    <t xml:space="preserve">Срок службы</t>
  </si>
  <si>
    <t xml:space="preserve">лет</t>
  </si>
  <si>
    <t xml:space="preserve">r_disc</t>
  </si>
  <si>
    <t xml:space="preserve">Реальная ставка дисконтирования</t>
  </si>
  <si>
    <t xml:space="preserve">salvage</t>
  </si>
  <si>
    <t xml:space="preserve">Остаточная стоимость</t>
  </si>
  <si>
    <t xml:space="preserve">доля</t>
  </si>
  <si>
    <t xml:space="preserve">ASAE_RF1</t>
  </si>
  <si>
    <t xml:space="preserve">ASAE D497.7: RF1 (колёсные тракторы)</t>
  </si>
  <si>
    <t xml:space="preserve">ASAE_RF2</t>
  </si>
  <si>
    <t xml:space="preserve">ASAE D497.7: RF2</t>
  </si>
  <si>
    <t xml:space="preserve">k_RM_ET</t>
  </si>
  <si>
    <t xml:space="preserve">Доля затрат на ремонт и ТО ЭТ от Д</t>
  </si>
  <si>
    <t xml:space="preserve">bat_usd_kWh</t>
  </si>
  <si>
    <t xml:space="preserve">Стоимость замены батареи</t>
  </si>
  <si>
    <t xml:space="preserve">$/(кВт·ч)</t>
  </si>
  <si>
    <t xml:space="preserve">2,5 × BNEF-2025 LFP</t>
  </si>
  <si>
    <t xml:space="preserve">bat_cycles</t>
  </si>
  <si>
    <t xml:space="preserve">Цикловой ресурс батареи</t>
  </si>
  <si>
    <t xml:space="preserve">циклов</t>
  </si>
  <si>
    <t xml:space="preserve">bat_cal_y</t>
  </si>
  <si>
    <t xml:space="preserve">Календарный ресурс батареи</t>
  </si>
  <si>
    <t xml:space="preserve">EF_grid</t>
  </si>
  <si>
    <t xml:space="preserve">Коэффициент эмиссии энергосистемы РК</t>
  </si>
  <si>
    <t xml:space="preserve">кг/(кВт·ч)</t>
  </si>
  <si>
    <t xml:space="preserve">IEA-2025 (через ABB)</t>
  </si>
  <si>
    <t xml:space="preserve">EF_D</t>
  </si>
  <si>
    <t xml:space="preserve">Коэффициент эмиссии ДТ</t>
  </si>
  <si>
    <t xml:space="preserve">кг/л</t>
  </si>
  <si>
    <t xml:space="preserve">IPCC 2006</t>
  </si>
  <si>
    <t xml:space="preserve">PEF_el</t>
  </si>
  <si>
    <t xml:space="preserve">Коэффициент первичной энергии электроэнергии</t>
  </si>
  <si>
    <t xml:space="preserve">Директива 2012/27/ЕС</t>
  </si>
  <si>
    <t xml:space="preserve">PEF_D</t>
  </si>
  <si>
    <t xml:space="preserve">Коэффициент первичной энергии ДТ</t>
  </si>
  <si>
    <t xml:space="preserve">JEC WTW v5</t>
  </si>
  <si>
    <t xml:space="preserve">slip_max</t>
  </si>
  <si>
    <t xml:space="preserve">Допустимое буксование</t>
  </si>
  <si>
    <t xml:space="preserve">S_task</t>
  </si>
  <si>
    <t xml:space="preserve">Сменное задание (0 — полная смена: задание = выработке Д)</t>
  </si>
  <si>
    <t xml:space="preserve">га/смену</t>
  </si>
  <si>
    <t xml:space="preserve">сценарий</t>
  </si>
  <si>
    <t xml:space="preserve">alpha_w</t>
  </si>
  <si>
    <t xml:space="preserve">Доля экспертных весов в итоговых</t>
  </si>
  <si>
    <t xml:space="preserve">методика (0,5)</t>
  </si>
  <si>
    <t xml:space="preserve">Производные величины</t>
  </si>
  <si>
    <t xml:space="preserve">E_use</t>
  </si>
  <si>
    <t xml:space="preserve">Используемый запас энергии, кВт·ч</t>
  </si>
  <si>
    <t xml:space="preserve">T_av</t>
  </si>
  <si>
    <t xml:space="preserve">Время смены на работу и переезды, ч</t>
  </si>
  <si>
    <t xml:space="preserve">t_tr</t>
  </si>
  <si>
    <t xml:space="preserve">Время переезда в одну сторону, ч</t>
  </si>
  <si>
    <t xml:space="preserve">E_tr</t>
  </si>
  <si>
    <t xml:space="preserve">Энергия переезда ЭТ в одну сторону, кВт·ч</t>
  </si>
  <si>
    <t xml:space="preserve">t_ch</t>
  </si>
  <si>
    <t xml:space="preserve">Время полной подзарядки, ч</t>
  </si>
  <si>
    <t xml:space="preserve">P_pto_nom</t>
  </si>
  <si>
    <t xml:space="preserve">Номинальная мощность ВОМ Д, кВт</t>
  </si>
  <si>
    <t xml:space="preserve">wage_h</t>
  </si>
  <si>
    <t xml:space="preserve">Стоимость часа работы тракториста, тг/ч</t>
  </si>
  <si>
    <t xml:space="preserve">price_ET</t>
  </si>
  <si>
    <t xml:space="preserve">Цена ЭТ у дилера, тг</t>
  </si>
  <si>
    <t xml:space="preserve">price_D</t>
  </si>
  <si>
    <t xml:space="preserve">Цена Д у дилера, тг</t>
  </si>
  <si>
    <t xml:space="preserve">T_life</t>
  </si>
  <si>
    <t xml:space="preserve">Наработка за срок службы, ч</t>
  </si>
  <si>
    <t xml:space="preserve">rm_h_D</t>
  </si>
  <si>
    <t xml:space="preserve">Средние затраты на ремонт и ТО Д, тг/ч</t>
  </si>
  <si>
    <t xml:space="preserve">k_CRF</t>
  </si>
  <si>
    <t xml:space="preserve">Коэффициент возврата капитала</t>
  </si>
  <si>
    <t xml:space="preserve">k_SFF</t>
  </si>
  <si>
    <t xml:space="preserve">Коэффициент фонда возмещения</t>
  </si>
  <si>
    <t xml:space="preserve">C_bat</t>
  </si>
  <si>
    <t xml:space="preserve">Стоимость замены батареи, тг</t>
  </si>
  <si>
    <t xml:space="preserve">Q_turn</t>
  </si>
  <si>
    <t xml:space="preserve">Расход топлива Д на развороте, л/ч</t>
  </si>
  <si>
    <t xml:space="preserve">Q_tr</t>
  </si>
  <si>
    <t xml:space="preserve">Расход топлива Д на переезде, л/ч</t>
  </si>
  <si>
    <t xml:space="preserve">Машина</t>
  </si>
  <si>
    <t xml:space="preserve">Сессия</t>
  </si>
  <si>
    <t xml:space="preserve">Проход</t>
  </si>
  <si>
    <t xml:space="preserve">Блок</t>
  </si>
  <si>
    <t xml:space="preserve">Вид</t>
  </si>
  <si>
    <t xml:space="preserve">a_пл, м</t>
  </si>
  <si>
    <t xml:space="preserve">v_пл, км/ч</t>
  </si>
  <si>
    <t xml:space="preserve">Диапазон</t>
  </si>
  <si>
    <t xml:space="preserve">n, с</t>
  </si>
  <si>
    <t xml:space="preserve">P̄, кВт</t>
  </si>
  <si>
    <t xml:space="preserve">s_P, кВт</t>
  </si>
  <si>
    <t xml:space="preserve">v_т, км/ч</t>
  </si>
  <si>
    <t xml:space="preserve">v, км/ч</t>
  </si>
  <si>
    <t xml:space="preserve">a, м</t>
  </si>
  <si>
    <t xml:space="preserve">s_a, м</t>
  </si>
  <si>
    <t xml:space="preserve">B, м</t>
  </si>
  <si>
    <t xml:space="preserve">n_ВОМ, мин⁻¹</t>
  </si>
  <si>
    <t xml:space="preserve">W0, га/ч</t>
  </si>
  <si>
    <t xml:space="preserve">e, кВт·ч/га</t>
  </si>
  <si>
    <t xml:space="preserve">δ</t>
  </si>
  <si>
    <t xml:space="preserve">e_V, кДж/м³</t>
  </si>
  <si>
    <t xml:space="preserve">v², м²/с²</t>
  </si>
  <si>
    <t xml:space="preserve">F_к, Н</t>
  </si>
  <si>
    <t xml:space="preserve">R, Н</t>
  </si>
  <si>
    <t xml:space="preserve">k, кН/м²</t>
  </si>
  <si>
    <t xml:space="preserve">φ_н</t>
  </si>
  <si>
    <t xml:space="preserve">A, кДж/м³</t>
  </si>
  <si>
    <t xml:space="preserve">(P−P_aux)/v_т, кВт·с/м</t>
  </si>
  <si>
    <t xml:space="preserve">культиватор</t>
  </si>
  <si>
    <t xml:space="preserve">C</t>
  </si>
  <si>
    <t xml:space="preserve">холостой</t>
  </si>
  <si>
    <t xml:space="preserve">L</t>
  </si>
  <si>
    <t xml:space="preserve">рабочий</t>
  </si>
  <si>
    <t xml:space="preserve">фреза</t>
  </si>
  <si>
    <t xml:space="preserve">T1</t>
  </si>
  <si>
    <t xml:space="preserve">П2</t>
  </si>
  <si>
    <t xml:space="preserve">T2</t>
  </si>
  <si>
    <t xml:space="preserve">П1</t>
  </si>
  <si>
    <t xml:space="preserve">П3</t>
  </si>
  <si>
    <t xml:space="preserve">Имя</t>
  </si>
  <si>
    <t xml:space="preserve">Коэффициент</t>
  </si>
  <si>
    <t xml:space="preserve">Формула / способ определения</t>
  </si>
  <si>
    <t xml:space="preserve">f_roll</t>
  </si>
  <si>
    <t xml:space="preserve">Коэффициент сопротивления качению</t>
  </si>
  <si>
    <t xml:space="preserve">по самопередвижению с культиватором (F_к/G)</t>
  </si>
  <si>
    <t xml:space="preserve">k_0</t>
  </si>
  <si>
    <t xml:space="preserve">k0 – удельное сопротивление при v → 0</t>
  </si>
  <si>
    <t xml:space="preserve">Н/м²</t>
  </si>
  <si>
    <t xml:space="preserve">ЛИНЕЙН(k; v²)</t>
  </si>
  <si>
    <t xml:space="preserve">eps</t>
  </si>
  <si>
    <t xml:space="preserve">ε – скоростной коэффициент</t>
  </si>
  <si>
    <t xml:space="preserve">Н·с²/м⁴</t>
  </si>
  <si>
    <t xml:space="preserve">R2_k</t>
  </si>
  <si>
    <t xml:space="preserve">R² модели k</t>
  </si>
  <si>
    <t xml:space="preserve">ЛИНЕЙН, статистика</t>
  </si>
  <si>
    <t xml:space="preserve">delta_0</t>
  </si>
  <si>
    <t xml:space="preserve">δ0 – буксование при самопередвижении</t>
  </si>
  <si>
    <t xml:space="preserve">среднее по самопередвижению</t>
  </si>
  <si>
    <t xml:space="preserve">phi_max</t>
  </si>
  <si>
    <t xml:space="preserve">φ_max тяговой характеристики</t>
  </si>
  <si>
    <t xml:space="preserve">нелинейный МНК (Python, scipy.curve_fit); значение</t>
  </si>
  <si>
    <t xml:space="preserve">k_slip</t>
  </si>
  <si>
    <t xml:space="preserve">k_δ тяговой характеристики</t>
  </si>
  <si>
    <t xml:space="preserve">нелинейный МНК (Python); значение</t>
  </si>
  <si>
    <t xml:space="preserve">c_move</t>
  </si>
  <si>
    <t xml:space="preserve">Удельная мощность передвижения с фрезой</t>
  </si>
  <si>
    <t xml:space="preserve">кВт·с/м</t>
  </si>
  <si>
    <t xml:space="preserve">(P − P_aux)/v_т по самопередвижению на П2</t>
  </si>
  <si>
    <t xml:space="preserve">P_rot0</t>
  </si>
  <si>
    <t xml:space="preserve">Мощность холостого вращения ротора сверх P_aux</t>
  </si>
  <si>
    <t xml:space="preserve">опыт: холостое вращение ротора, ВОМ 540</t>
  </si>
  <si>
    <t xml:space="preserve">A_0</t>
  </si>
  <si>
    <t xml:space="preserve">A0</t>
  </si>
  <si>
    <t xml:space="preserve">кДж/м³</t>
  </si>
  <si>
    <t xml:space="preserve">ЛИНЕЙН(A; v, a)</t>
  </si>
  <si>
    <t xml:space="preserve">A_v</t>
  </si>
  <si>
    <t xml:space="preserve">Av</t>
  </si>
  <si>
    <t xml:space="preserve">кДж/(м³·км/ч)</t>
  </si>
  <si>
    <t xml:space="preserve">A_a</t>
  </si>
  <si>
    <t xml:space="preserve">Aa</t>
  </si>
  <si>
    <t xml:space="preserve">кДж/(м³·м)</t>
  </si>
  <si>
    <t xml:space="preserve">slip_till</t>
  </si>
  <si>
    <t xml:space="preserve">Буксование с фрезой (среднее)</t>
  </si>
  <si>
    <t xml:space="preserve">среднее по рабочим проходам</t>
  </si>
  <si>
    <t xml:space="preserve">cv_P</t>
  </si>
  <si>
    <t xml:space="preserve">Коэффициент вариации мощности (медиана)</t>
  </si>
  <si>
    <t xml:space="preserve">медиана s_P/P̄ по рабочим проходам</t>
  </si>
  <si>
    <t xml:space="preserve">turn_t</t>
  </si>
  <si>
    <t xml:space="preserve">Продолжительность разворота</t>
  </si>
  <si>
    <t xml:space="preserve">с</t>
  </si>
  <si>
    <t xml:space="preserve">turn_P</t>
  </si>
  <si>
    <t xml:space="preserve">Мощность на развороте</t>
  </si>
  <si>
    <t xml:space="preserve">n</t>
  </si>
  <si>
    <t xml:space="preserve">s_P</t>
  </si>
  <si>
    <t xml:space="preserve">Δ0,95 P</t>
  </si>
  <si>
    <t xml:space="preserve">s_e</t>
  </si>
  <si>
    <t xml:space="preserve">Δ0,95 e</t>
  </si>
  <si>
    <t xml:space="preserve">v, м/с</t>
  </si>
  <si>
    <t xml:space="preserve">A, кДж/м³ (фреза)</t>
  </si>
  <si>
    <t xml:space="preserve">φ_н ЭТ</t>
  </si>
  <si>
    <t xml:space="preserve">δ ЭТ</t>
  </si>
  <si>
    <t xml:space="preserve">φ_н Д</t>
  </si>
  <si>
    <t xml:space="preserve">δ Д</t>
  </si>
  <si>
    <t xml:space="preserve">P_эл ЭТ, кВт</t>
  </si>
  <si>
    <t xml:space="preserve">P_вх ЭТ, кВт</t>
  </si>
  <si>
    <t xml:space="preserve">P_вх Д, кВт</t>
  </si>
  <si>
    <t xml:space="preserve">Резерв ЭТ</t>
  </si>
  <si>
    <t xml:space="preserve">Резерв Д</t>
  </si>
  <si>
    <t xml:space="preserve">Допустим ЭТ</t>
  </si>
  <si>
    <t xml:space="preserve">Допустим Д</t>
  </si>
  <si>
    <t xml:space="preserve">Длительный ЭТ</t>
  </si>
  <si>
    <t xml:space="preserve">Q Д, л/ч</t>
  </si>
  <si>
    <t xml:space="preserve">X Д</t>
  </si>
  <si>
    <t xml:space="preserve">Режим</t>
  </si>
  <si>
    <t xml:space="preserve">n_пов, 1/га</t>
  </si>
  <si>
    <t xml:space="preserve">t_га, ч/га</t>
  </si>
  <si>
    <t xml:space="preserve">e_акб, кВт·ч/га</t>
  </si>
  <si>
    <t xml:space="preserve">Мощность цикла, кВт</t>
  </si>
  <si>
    <t xml:space="preserve">t_авт ЭТ, ч</t>
  </si>
  <si>
    <t xml:space="preserve">A_зар, га</t>
  </si>
  <si>
    <t xml:space="preserve">Работа на зарядке, ч</t>
  </si>
  <si>
    <t xml:space="preserve">w1, ч</t>
  </si>
  <si>
    <t xml:space="preserve">Подзаряд. 1</t>
  </si>
  <si>
    <t xml:space="preserve">w2, ч</t>
  </si>
  <si>
    <t xml:space="preserve">Подзаряд. 2</t>
  </si>
  <si>
    <t xml:space="preserve">w3, ч</t>
  </si>
  <si>
    <t xml:space="preserve">Подзарядок</t>
  </si>
  <si>
    <t xml:space="preserve">S_см ЭТ, га</t>
  </si>
  <si>
    <t xml:space="preserve">e_сеть, кВт·ч/га</t>
  </si>
  <si>
    <t xml:space="preserve">q0, л/га</t>
  </si>
  <si>
    <t xml:space="preserve">Q_ср, л/ч</t>
  </si>
  <si>
    <t xml:space="preserve">t_авт Д, ч</t>
  </si>
  <si>
    <t xml:space="preserve">Дозаправок</t>
  </si>
  <si>
    <t xml:space="preserve">S_см Д, га</t>
  </si>
  <si>
    <t xml:space="preserve">q, л/га</t>
  </si>
  <si>
    <t xml:space="preserve">A_бак, га</t>
  </si>
  <si>
    <t xml:space="preserve">Труд ЭТ, тг/га</t>
  </si>
  <si>
    <t xml:space="preserve">Труд Д, тг/га</t>
  </si>
  <si>
    <t xml:space="preserve">Энергия ЭТ, тг/га</t>
  </si>
  <si>
    <t xml:space="preserve">Топливо Д, тг/га</t>
  </si>
  <si>
    <t xml:space="preserve">Ремонт ЭТ, тг/га</t>
  </si>
  <si>
    <t xml:space="preserve">Ремонт Д, тг/га</t>
  </si>
  <si>
    <t xml:space="preserve">A_год, га</t>
  </si>
  <si>
    <t xml:space="preserve">Циклов/год</t>
  </si>
  <si>
    <t xml:space="preserve">Ресурс батареи, лет</t>
  </si>
  <si>
    <t xml:space="preserve">Замен батареи</t>
  </si>
  <si>
    <t xml:space="preserve">Капит. ЭТ, тг/га</t>
  </si>
  <si>
    <t xml:space="preserve">Капит. Д, тг/га</t>
  </si>
  <si>
    <t xml:space="preserve">C_пр ЭТ, тг/га</t>
  </si>
  <si>
    <t xml:space="preserve">C_пр Д, тг/га</t>
  </si>
  <si>
    <t xml:space="preserve">C_сов ЭТ, тг/га</t>
  </si>
  <si>
    <t xml:space="preserve">C_сов Д, тг/га</t>
  </si>
  <si>
    <t xml:space="preserve">Матрица парных сравнений групп (изменяемая: верхний треугольник; нижний — обратные значения)</t>
  </si>
  <si>
    <t xml:space="preserve">Группа</t>
  </si>
  <si>
    <t xml:space="preserve">Энергет.</t>
  </si>
  <si>
    <t xml:space="preserve">Технолог.</t>
  </si>
  <si>
    <t xml:space="preserve">Экономич.</t>
  </si>
  <si>
    <t xml:space="preserve">Экологич.</t>
  </si>
  <si>
    <t xml:space="preserve">Автономн.</t>
  </si>
  <si>
    <t xml:space="preserve">Геом. среднее</t>
  </si>
  <si>
    <t xml:space="preserve">Вес w</t>
  </si>
  <si>
    <t xml:space="preserve">(A·w)ᵢ/wᵢ</t>
  </si>
  <si>
    <t xml:space="preserve">Энергетические</t>
  </si>
  <si>
    <t xml:space="preserve">Технологические</t>
  </si>
  <si>
    <t xml:space="preserve">Экономические</t>
  </si>
  <si>
    <t xml:space="preserve">Экологические</t>
  </si>
  <si>
    <t xml:space="preserve">Автономность</t>
  </si>
  <si>
    <t xml:space="preserve">wᵀ</t>
  </si>
  <si>
    <t xml:space="preserve">λ_max</t>
  </si>
  <si>
    <t xml:space="preserve">CI</t>
  </si>
  <si>
    <t xml:space="preserve">CR (RI = 1,12)</t>
  </si>
  <si>
    <t xml:space="preserve">Локальные матрицы (внутри групп)</t>
  </si>
  <si>
    <t xml:space="preserve">I1</t>
  </si>
  <si>
    <t xml:space="preserve">I2</t>
  </si>
  <si>
    <t xml:space="preserve">Геом. ср.</t>
  </si>
  <si>
    <t xml:space="preserve">Лок. вес</t>
  </si>
  <si>
    <t xml:space="preserve">I3</t>
  </si>
  <si>
    <t xml:space="preserve">I4</t>
  </si>
  <si>
    <t xml:space="preserve">I5</t>
  </si>
  <si>
    <t xml:space="preserve">I6</t>
  </si>
  <si>
    <t xml:space="preserve">I7</t>
  </si>
  <si>
    <t xml:space="preserve">I8</t>
  </si>
  <si>
    <t xml:space="preserve">I9</t>
  </si>
  <si>
    <t xml:space="preserve">I10</t>
  </si>
  <si>
    <t xml:space="preserve">Итоговые веса</t>
  </si>
  <si>
    <t xml:space="preserve">Код</t>
  </si>
  <si>
    <t xml:space="preserve">w МАИ</t>
  </si>
  <si>
    <t xml:space="preserve">w энтроп.</t>
  </si>
  <si>
    <t xml:space="preserve">w итог</t>
  </si>
  <si>
    <t xml:space="preserve">Допустим ЭТ и Д</t>
  </si>
  <si>
    <t xml:space="preserve">S_зад, га</t>
  </si>
  <si>
    <t xml:space="preserve">I1 ЭТ</t>
  </si>
  <si>
    <t xml:space="preserve">I2 ЭТ</t>
  </si>
  <si>
    <t xml:space="preserve">I3 ЭТ</t>
  </si>
  <si>
    <t xml:space="preserve">I4 ЭТ</t>
  </si>
  <si>
    <t xml:space="preserve">I5 ЭТ</t>
  </si>
  <si>
    <t xml:space="preserve">I6 ЭТ</t>
  </si>
  <si>
    <t xml:space="preserve">I7 ЭТ</t>
  </si>
  <si>
    <t xml:space="preserve">I8 ЭТ</t>
  </si>
  <si>
    <t xml:space="preserve">I9 ЭТ</t>
  </si>
  <si>
    <t xml:space="preserve">I10 ЭТ</t>
  </si>
  <si>
    <t xml:space="preserve">I1 Д</t>
  </si>
  <si>
    <t xml:space="preserve">I2 Д</t>
  </si>
  <si>
    <t xml:space="preserve">I3 Д</t>
  </si>
  <si>
    <t xml:space="preserve">I4 Д</t>
  </si>
  <si>
    <t xml:space="preserve">I5 Д</t>
  </si>
  <si>
    <t xml:space="preserve">I6 Д</t>
  </si>
  <si>
    <t xml:space="preserve">I7 Д</t>
  </si>
  <si>
    <t xml:space="preserve">I8 Д</t>
  </si>
  <si>
    <t xml:space="preserve">I9 Д</t>
  </si>
  <si>
    <t xml:space="preserve">I10 Д</t>
  </si>
  <si>
    <t xml:space="preserve">d I1</t>
  </si>
  <si>
    <t xml:space="preserve">d I2</t>
  </si>
  <si>
    <t xml:space="preserve">d I3</t>
  </si>
  <si>
    <t xml:space="preserve">d I4</t>
  </si>
  <si>
    <t xml:space="preserve">d I5</t>
  </si>
  <si>
    <t xml:space="preserve">d I6</t>
  </si>
  <si>
    <t xml:space="preserve">d I7</t>
  </si>
  <si>
    <t xml:space="preserve">d I8</t>
  </si>
  <si>
    <t xml:space="preserve">d I9</t>
  </si>
  <si>
    <t xml:space="preserve">d I10</t>
  </si>
  <si>
    <t xml:space="preserve">Индекс I</t>
  </si>
  <si>
    <t xml:space="preserve">Альтернатива</t>
  </si>
  <si>
    <t xml:space="preserve">Допустим</t>
  </si>
  <si>
    <t xml:space="preserve">z I1</t>
  </si>
  <si>
    <t xml:space="preserve">z I2</t>
  </si>
  <si>
    <t xml:space="preserve">z I3</t>
  </si>
  <si>
    <t xml:space="preserve">z I4</t>
  </si>
  <si>
    <t xml:space="preserve">z I5</t>
  </si>
  <si>
    <t xml:space="preserve">z I6</t>
  </si>
  <si>
    <t xml:space="preserve">z I7</t>
  </si>
  <si>
    <t xml:space="preserve">z I8</t>
  </si>
  <si>
    <t xml:space="preserve">z I9</t>
  </si>
  <si>
    <t xml:space="preserve">z I10</t>
  </si>
  <si>
    <t xml:space="preserve">p·ln p I1</t>
  </si>
  <si>
    <t xml:space="preserve">p·ln p I2</t>
  </si>
  <si>
    <t xml:space="preserve">p·ln p I3</t>
  </si>
  <si>
    <t xml:space="preserve">p·ln p I4</t>
  </si>
  <si>
    <t xml:space="preserve">p·ln p I5</t>
  </si>
  <si>
    <t xml:space="preserve">p·ln p I6</t>
  </si>
  <si>
    <t xml:space="preserve">p·ln p I7</t>
  </si>
  <si>
    <t xml:space="preserve">p·ln p I8</t>
  </si>
  <si>
    <t xml:space="preserve">p·ln p I9</t>
  </si>
  <si>
    <t xml:space="preserve">p·ln p I10</t>
  </si>
  <si>
    <t xml:space="preserve">m (допустимых)</t>
  </si>
  <si>
    <t xml:space="preserve">min</t>
  </si>
  <si>
    <t xml:space="preserve">max</t>
  </si>
  <si>
    <t xml:space="preserve">Σ z</t>
  </si>
  <si>
    <t xml:space="preserve">Энтропия E</t>
  </si>
  <si>
    <t xml:space="preserve">Энтропийный вес</t>
  </si>
  <si>
    <t xml:space="preserve">Сценарий</t>
  </si>
  <si>
    <t xml:space="preserve">I среднее</t>
  </si>
  <si>
    <t xml:space="preserve">I 5 %</t>
  </si>
  <si>
    <t xml:space="preserve">I 95 %</t>
  </si>
  <si>
    <t xml:space="preserve">P(I&gt;0)</t>
  </si>
  <si>
    <t xml:space="preserve">P(C_сов ЭТ &lt; Д)</t>
  </si>
  <si>
    <t xml:space="preserve">Значения получены программой src/analysis.py (1000 испытаний Монте-Карло: параметры — равномерно в диапазонах листа «Исходные», веса — распределение Дирихле с параметром 50·w). S1 — полная смена, S2 — задание 0,5 га.</t>
  </si>
  <si>
    <t xml:space="preserve">S1</t>
  </si>
  <si>
    <t xml:space="preserve">S2</t>
  </si>
  <si>
    <t xml:space="preserve">SRC S1</t>
  </si>
  <si>
    <t xml:space="preserve">SRC S2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</si>
</sst>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,##0.000"/>
    <numFmt numFmtId="166" formatCode="0.000"/>
    <numFmt numFmtId="167" formatCode="0.00"/>
    <numFmt numFmtId="168" formatCode="0.0"/>
    <numFmt numFmtId="169" formatCode="0"/>
    <numFmt numFmtId="170" formatCode="0.0000"/>
    <numFmt numFmtId="171" formatCode="0.0%"/>
    <numFmt numFmtId="172" formatCode="General"/>
    <numFmt numFmtId="173" formatCode="#,##0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Times New Roman"/>
      <family val="0"/>
      <charset val="1"/>
    </font>
    <font>
      <b val="true"/>
      <sz val="11"/>
      <name val="Times New Roman"/>
      <family val="0"/>
      <charset val="1"/>
    </font>
    <font>
      <sz val="11"/>
      <name val="Times New Roman"/>
      <family val="0"/>
      <charset val="1"/>
    </font>
    <font>
      <b val="true"/>
      <sz val="11"/>
      <color rgb="FFFFFFFF"/>
      <name val="Times New Roman"/>
      <family val="0"/>
      <charset val="1"/>
    </font>
    <font>
      <sz val="11"/>
      <color rgb="FF0000FF"/>
      <name val="Times New Roman"/>
      <family val="0"/>
      <charset val="1"/>
    </font>
    <font>
      <sz val="11"/>
      <color rgb="FF008000"/>
      <name val="Times New Roman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2A78D6"/>
        <bgColor rgb="FF4F81BD"/>
      </patternFill>
    </fill>
    <fill>
      <patternFill patternType="solid">
        <fgColor rgb="FFFFF2CC"/>
        <bgColor rgb="FFFFFFFF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78787"/>
      <rgbColor rgb="FF9999FF"/>
      <rgbColor rgb="FF993366"/>
      <rgbColor rgb="FFFFF2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A78D6"/>
      <rgbColor rgb="FF33CCCC"/>
      <rgbColor rgb="FF99CC00"/>
      <rgbColor rgb="FFFFCC00"/>
      <rgbColor rgb="FFFF9900"/>
      <rgbColor rgb="FFFF6600"/>
      <rgbColor rgb="FF4F81BD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Интегральный индекс I по режимам (I &gt; 0 — преимущество ЭТ)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Показатели!AH1</c:f>
              <c:strCache>
                <c:ptCount val="1"/>
                <c:pt idx="0">
                  <c:v>Индекс I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Показатели!$A$2:$A$17</c:f>
              <c:strCache>
                <c:ptCount val="16"/>
                <c:pt idx="0">
                  <c:v>культиватор 0.08×3.6</c:v>
                </c:pt>
                <c:pt idx="1">
                  <c:v>культиватор 0.08×4.5</c:v>
                </c:pt>
                <c:pt idx="2">
                  <c:v>культиватор 0.08×5.4</c:v>
                </c:pt>
                <c:pt idx="3">
                  <c:v>культиватор 0.11×3.6</c:v>
                </c:pt>
                <c:pt idx="4">
                  <c:v>культиватор 0.11×4.5</c:v>
                </c:pt>
                <c:pt idx="5">
                  <c:v>культиватор 0.11×5.4</c:v>
                </c:pt>
                <c:pt idx="6">
                  <c:v>культиватор 0.14×3.6</c:v>
                </c:pt>
                <c:pt idx="7">
                  <c:v>культиватор 0.14×4.5</c:v>
                </c:pt>
                <c:pt idx="8">
                  <c:v>фреза 0.08×1.8</c:v>
                </c:pt>
                <c:pt idx="9">
                  <c:v>фреза 0.08×2.7</c:v>
                </c:pt>
                <c:pt idx="10">
                  <c:v>фреза 0.08×3.6</c:v>
                </c:pt>
                <c:pt idx="11">
                  <c:v>фреза 0.12×1.8</c:v>
                </c:pt>
                <c:pt idx="12">
                  <c:v>фреза 0.12×2.7</c:v>
                </c:pt>
                <c:pt idx="13">
                  <c:v>фреза 0.12×3.6</c:v>
                </c:pt>
                <c:pt idx="14">
                  <c:v>фреза 0.16×1.8</c:v>
                </c:pt>
                <c:pt idx="15">
                  <c:v>фреза 0.16×2.7</c:v>
                </c:pt>
              </c:strCache>
            </c:strRef>
          </c:cat>
          <c:val>
            <c:numRef>
              <c:f>Показатели!$AH$2:$AH$17</c:f>
              <c:numCache>
                <c:formatCode>0.000</c:formatCode>
                <c:ptCount val="16"/>
                <c:pt idx="0">
                  <c:v>0.0120630512780777</c:v>
                </c:pt>
                <c:pt idx="1">
                  <c:v>-0.0281617328001106</c:v>
                </c:pt>
                <c:pt idx="2">
                  <c:v>-0.0435391882951587</c:v>
                </c:pt>
                <c:pt idx="3">
                  <c:v>-0.0228188053932973</c:v>
                </c:pt>
                <c:pt idx="4">
                  <c:v>-0.0406429035009115</c:v>
                </c:pt>
                <c:pt idx="5">
                  <c:v>-0.0693263911144785</c:v>
                </c:pt>
                <c:pt idx="6">
                  <c:v>-0.0261578934597598</c:v>
                </c:pt>
                <c:pt idx="7">
                  <c:v>-0.0564521421336839</c:v>
                </c:pt>
                <c:pt idx="8">
                  <c:v>0.00207072784829671</c:v>
                </c:pt>
                <c:pt idx="9">
                  <c:v>-0.0407339658000411</c:v>
                </c:pt>
                <c:pt idx="10">
                  <c:v>-0.0552108530533026</c:v>
                </c:pt>
                <c:pt idx="11">
                  <c:v>-0.0413390063388497</c:v>
                </c:pt>
                <c:pt idx="12">
                  <c:v>-0.066896809865312</c:v>
                </c:pt>
                <c:pt idx="13">
                  <c:v>-0.106802877343651</c:v>
                </c:pt>
                <c:pt idx="14">
                  <c:v>-0.0593816392997112</c:v>
                </c:pt>
                <c:pt idx="15">
                  <c:v>-0.13938407985737</c:v>
                </c:pt>
              </c:numCache>
            </c:numRef>
          </c:val>
        </c:ser>
        <c:gapWidth val="150"/>
        <c:overlap val="0"/>
        <c:axId val="51975097"/>
        <c:axId val="19838119"/>
      </c:barChart>
      <c:catAx>
        <c:axId val="5197509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9838119"/>
        <c:crosses val="autoZero"/>
        <c:auto val="1"/>
        <c:lblAlgn val="ctr"/>
        <c:lblOffset val="100"/>
        <c:noMultiLvlLbl val="0"/>
      </c:catAx>
      <c:valAx>
        <c:axId val="1983811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I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1975097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19</xdr:row>
      <xdr:rowOff>0</xdr:rowOff>
    </xdr:from>
    <xdr:to>
      <xdr:col>12</xdr:col>
      <xdr:colOff>151200</xdr:colOff>
      <xdr:row>39</xdr:row>
      <xdr:rowOff>149760</xdr:rowOff>
    </xdr:to>
    <xdr:graphicFrame>
      <xdr:nvGraphicFramePr>
        <xdr:cNvPr id="0" name="Chart 1"/>
        <xdr:cNvGraphicFramePr/>
      </xdr:nvGraphicFramePr>
      <xdr:xfrm>
        <a:off x="1127880" y="4000680"/>
        <a:ext cx="7199640" cy="39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9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00"/>
  </cols>
  <sheetData>
    <row r="1" customFormat="false" ht="17.35" hidden="false" customHeight="false" outlineLevel="0" collapsed="false">
      <c r="A1" s="1" t="s">
        <v>0</v>
      </c>
    </row>
    <row r="3" customFormat="false" ht="25.35" hidden="false" customHeight="false" outlineLevel="0" collapsed="false">
      <c r="A3" s="2" t="s">
        <v>1</v>
      </c>
      <c r="B3" s="3" t="s">
        <v>2</v>
      </c>
    </row>
    <row r="4" customFormat="false" ht="25.35" hidden="false" customHeight="false" outlineLevel="0" collapsed="false">
      <c r="A4" s="2" t="s">
        <v>3</v>
      </c>
      <c r="B4" s="3" t="s">
        <v>4</v>
      </c>
    </row>
    <row r="5" customFormat="false" ht="25.35" hidden="false" customHeight="false" outlineLevel="0" collapsed="false">
      <c r="A5" s="2" t="s">
        <v>5</v>
      </c>
      <c r="B5" s="3" t="s">
        <v>6</v>
      </c>
    </row>
    <row r="6" customFormat="false" ht="25.35" hidden="false" customHeight="false" outlineLevel="0" collapsed="false">
      <c r="A6" s="2" t="s">
        <v>7</v>
      </c>
      <c r="B6" s="3" t="s">
        <v>8</v>
      </c>
    </row>
    <row r="7" customFormat="false" ht="25.35" hidden="false" customHeight="false" outlineLevel="0" collapsed="false">
      <c r="A7" s="2" t="s">
        <v>9</v>
      </c>
      <c r="B7" s="3" t="s">
        <v>10</v>
      </c>
    </row>
    <row r="8" customFormat="false" ht="15" hidden="false" customHeight="false" outlineLevel="0" collapsed="false">
      <c r="A8" s="2" t="s">
        <v>11</v>
      </c>
      <c r="B8" s="3" t="s">
        <v>12</v>
      </c>
    </row>
    <row r="9" customFormat="false" ht="25.35" hidden="false" customHeight="false" outlineLevel="0" collapsed="false">
      <c r="A9" s="2" t="s">
        <v>13</v>
      </c>
      <c r="B9" s="3" t="s">
        <v>14</v>
      </c>
    </row>
    <row r="10" customFormat="false" ht="25.35" hidden="false" customHeight="false" outlineLevel="0" collapsed="false">
      <c r="A10" s="2" t="s">
        <v>15</v>
      </c>
      <c r="B10" s="3" t="s">
        <v>16</v>
      </c>
    </row>
    <row r="11" customFormat="false" ht="25.35" hidden="false" customHeight="false" outlineLevel="0" collapsed="false">
      <c r="A11" s="2" t="s">
        <v>17</v>
      </c>
      <c r="B11" s="3" t="s">
        <v>18</v>
      </c>
    </row>
    <row r="12" customFormat="false" ht="25.35" hidden="false" customHeight="false" outlineLevel="0" collapsed="false">
      <c r="A12" s="2" t="s">
        <v>19</v>
      </c>
      <c r="B12" s="3" t="s">
        <v>20</v>
      </c>
    </row>
    <row r="13" customFormat="false" ht="25.35" hidden="false" customHeight="false" outlineLevel="0" collapsed="false">
      <c r="A13" s="2" t="s">
        <v>21</v>
      </c>
      <c r="B13" s="3" t="s">
        <v>22</v>
      </c>
    </row>
    <row r="14" customFormat="false" ht="15" hidden="false" customHeight="false" outlineLevel="0" collapsed="false">
      <c r="A14" s="2" t="s">
        <v>23</v>
      </c>
      <c r="B14" s="3" t="s">
        <v>24</v>
      </c>
    </row>
    <row r="15" customFormat="false" ht="15" hidden="false" customHeight="false" outlineLevel="0" collapsed="false">
      <c r="A15" s="2" t="s">
        <v>25</v>
      </c>
      <c r="B15" s="3" t="s">
        <v>26</v>
      </c>
    </row>
    <row r="16" customFormat="false" ht="15" hidden="false" customHeight="false" outlineLevel="0" collapsed="false">
      <c r="A16" s="2" t="s">
        <v>27</v>
      </c>
      <c r="B16" s="3" t="s">
        <v>28</v>
      </c>
    </row>
    <row r="17" customFormat="false" ht="15" hidden="false" customHeight="false" outlineLevel="0" collapsed="false">
      <c r="A17" s="2" t="s">
        <v>29</v>
      </c>
      <c r="B17" s="3" t="s">
        <v>30</v>
      </c>
    </row>
    <row r="18" customFormat="false" ht="25.35" hidden="false" customHeight="false" outlineLevel="0" collapsed="false">
      <c r="A18" s="2" t="s">
        <v>31</v>
      </c>
      <c r="B18" s="3" t="s">
        <v>32</v>
      </c>
    </row>
    <row r="19" customFormat="false" ht="25.35" hidden="false" customHeight="false" outlineLevel="0" collapsed="false">
      <c r="A19" s="2" t="s">
        <v>33</v>
      </c>
      <c r="B19" s="3" t="s">
        <v>34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4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52"/>
    <col collapsed="false" customWidth="true" hidden="false" outlineLevel="0" max="3" min="3" style="0" width="14"/>
    <col collapsed="false" customWidth="true" hidden="false" outlineLevel="0" max="4" min="4" style="0" width="12"/>
    <col collapsed="false" customWidth="true" hidden="false" outlineLevel="0" max="5" min="5" style="0" width="52"/>
    <col collapsed="false" customWidth="true" hidden="false" outlineLevel="0" max="7" min="6" style="0" width="10"/>
  </cols>
  <sheetData>
    <row r="1" customFormat="false" ht="45" hidden="false" customHeight="true" outlineLevel="0" collapsed="false">
      <c r="A1" s="4" t="s">
        <v>35</v>
      </c>
      <c r="B1" s="4" t="s">
        <v>36</v>
      </c>
      <c r="C1" s="4" t="s">
        <v>37</v>
      </c>
      <c r="D1" s="4" t="s">
        <v>38</v>
      </c>
      <c r="E1" s="4" t="s">
        <v>39</v>
      </c>
      <c r="F1" s="4" t="s">
        <v>40</v>
      </c>
      <c r="G1" s="4" t="s">
        <v>41</v>
      </c>
    </row>
    <row r="2" customFormat="false" ht="15" hidden="false" customHeight="false" outlineLevel="0" collapsed="false">
      <c r="A2" s="5" t="s">
        <v>42</v>
      </c>
      <c r="B2" s="6" t="s">
        <v>43</v>
      </c>
      <c r="C2" s="7" t="n">
        <v>1300</v>
      </c>
      <c r="D2" s="6" t="s">
        <v>44</v>
      </c>
      <c r="E2" s="6" t="s">
        <v>45</v>
      </c>
      <c r="F2" s="6"/>
      <c r="G2" s="6"/>
    </row>
    <row r="3" customFormat="false" ht="15" hidden="false" customHeight="false" outlineLevel="0" collapsed="false">
      <c r="A3" s="5" t="s">
        <v>46</v>
      </c>
      <c r="B3" s="6" t="s">
        <v>47</v>
      </c>
      <c r="C3" s="7" t="n">
        <v>1140</v>
      </c>
      <c r="D3" s="6" t="s">
        <v>44</v>
      </c>
      <c r="E3" s="6" t="s">
        <v>48</v>
      </c>
      <c r="F3" s="6"/>
      <c r="G3" s="6"/>
    </row>
    <row r="4" customFormat="false" ht="15" hidden="false" customHeight="false" outlineLevel="0" collapsed="false">
      <c r="A4" s="5" t="s">
        <v>49</v>
      </c>
      <c r="B4" s="6" t="s">
        <v>50</v>
      </c>
      <c r="C4" s="7" t="n">
        <v>9.81</v>
      </c>
      <c r="D4" s="6" t="s">
        <v>51</v>
      </c>
      <c r="E4" s="6" t="s">
        <v>52</v>
      </c>
      <c r="F4" s="6"/>
      <c r="G4" s="6"/>
    </row>
    <row r="5" customFormat="false" ht="15" hidden="false" customHeight="false" outlineLevel="0" collapsed="false">
      <c r="A5" s="5" t="s">
        <v>53</v>
      </c>
      <c r="B5" s="6" t="s">
        <v>54</v>
      </c>
      <c r="C5" s="7" t="n">
        <v>23.35</v>
      </c>
      <c r="D5" s="6" t="s">
        <v>55</v>
      </c>
      <c r="E5" s="6" t="s">
        <v>56</v>
      </c>
      <c r="F5" s="6"/>
      <c r="G5" s="6"/>
    </row>
    <row r="6" customFormat="false" ht="15" hidden="false" customHeight="false" outlineLevel="0" collapsed="false">
      <c r="A6" s="5" t="s">
        <v>57</v>
      </c>
      <c r="B6" s="6" t="s">
        <v>58</v>
      </c>
      <c r="C6" s="7" t="n">
        <v>98</v>
      </c>
      <c r="D6" s="6" t="s">
        <v>59</v>
      </c>
      <c r="E6" s="6" t="s">
        <v>60</v>
      </c>
      <c r="F6" s="6"/>
      <c r="G6" s="6"/>
    </row>
    <row r="7" customFormat="false" ht="15" hidden="false" customHeight="false" outlineLevel="0" collapsed="false">
      <c r="A7" s="5" t="s">
        <v>61</v>
      </c>
      <c r="B7" s="6" t="s">
        <v>62</v>
      </c>
      <c r="C7" s="7" t="n">
        <v>30</v>
      </c>
      <c r="D7" s="6" t="s">
        <v>59</v>
      </c>
      <c r="E7" s="6" t="s">
        <v>63</v>
      </c>
      <c r="F7" s="6"/>
      <c r="G7" s="6"/>
    </row>
    <row r="8" customFormat="false" ht="15" hidden="false" customHeight="false" outlineLevel="0" collapsed="false">
      <c r="A8" s="5" t="s">
        <v>64</v>
      </c>
      <c r="B8" s="6" t="s">
        <v>65</v>
      </c>
      <c r="C8" s="7" t="n">
        <v>17.5</v>
      </c>
      <c r="D8" s="6" t="s">
        <v>66</v>
      </c>
      <c r="E8" s="6" t="s">
        <v>67</v>
      </c>
      <c r="F8" s="6"/>
      <c r="G8" s="6"/>
    </row>
    <row r="9" customFormat="false" ht="15" hidden="false" customHeight="false" outlineLevel="0" collapsed="false">
      <c r="A9" s="5" t="s">
        <v>68</v>
      </c>
      <c r="B9" s="6" t="s">
        <v>69</v>
      </c>
      <c r="C9" s="7" t="n">
        <v>12</v>
      </c>
      <c r="D9" s="6" t="s">
        <v>66</v>
      </c>
      <c r="E9" s="6" t="s">
        <v>70</v>
      </c>
      <c r="F9" s="6"/>
      <c r="G9" s="6"/>
    </row>
    <row r="10" customFormat="false" ht="15" hidden="false" customHeight="false" outlineLevel="0" collapsed="false">
      <c r="A10" s="5" t="s">
        <v>71</v>
      </c>
      <c r="B10" s="6" t="s">
        <v>72</v>
      </c>
      <c r="C10" s="7" t="n">
        <v>0.18</v>
      </c>
      <c r="D10" s="6" t="s">
        <v>66</v>
      </c>
      <c r="E10" s="6" t="s">
        <v>60</v>
      </c>
      <c r="F10" s="6"/>
      <c r="G10" s="6"/>
    </row>
    <row r="11" customFormat="false" ht="15" hidden="false" customHeight="false" outlineLevel="0" collapsed="false">
      <c r="A11" s="5" t="s">
        <v>73</v>
      </c>
      <c r="B11" s="6" t="s">
        <v>74</v>
      </c>
      <c r="C11" s="7" t="n">
        <v>0.88</v>
      </c>
      <c r="D11" s="6" t="s">
        <v>75</v>
      </c>
      <c r="E11" s="6" t="s">
        <v>76</v>
      </c>
      <c r="F11" s="6" t="n">
        <v>0.83</v>
      </c>
      <c r="G11" s="6" t="n">
        <v>0.92</v>
      </c>
    </row>
    <row r="12" customFormat="false" ht="15" hidden="false" customHeight="false" outlineLevel="0" collapsed="false">
      <c r="A12" s="5" t="s">
        <v>77</v>
      </c>
      <c r="B12" s="6" t="s">
        <v>78</v>
      </c>
      <c r="C12" s="7" t="n">
        <v>0.88</v>
      </c>
      <c r="D12" s="6" t="s">
        <v>75</v>
      </c>
      <c r="E12" s="6" t="s">
        <v>76</v>
      </c>
      <c r="F12" s="6" t="n">
        <v>0.85</v>
      </c>
      <c r="G12" s="6" t="n">
        <v>0.91</v>
      </c>
    </row>
    <row r="13" customFormat="false" ht="15" hidden="false" customHeight="false" outlineLevel="0" collapsed="false">
      <c r="A13" s="5" t="s">
        <v>79</v>
      </c>
      <c r="B13" s="6" t="s">
        <v>80</v>
      </c>
      <c r="C13" s="7" t="n">
        <v>0.15</v>
      </c>
      <c r="D13" s="6" t="s">
        <v>66</v>
      </c>
      <c r="E13" s="6" t="s">
        <v>76</v>
      </c>
      <c r="F13" s="6"/>
      <c r="G13" s="6"/>
    </row>
    <row r="14" customFormat="false" ht="15" hidden="false" customHeight="false" outlineLevel="0" collapsed="false">
      <c r="A14" s="5" t="s">
        <v>81</v>
      </c>
      <c r="B14" s="6" t="s">
        <v>82</v>
      </c>
      <c r="C14" s="7" t="n">
        <v>18.4</v>
      </c>
      <c r="D14" s="6" t="s">
        <v>66</v>
      </c>
      <c r="E14" s="6" t="s">
        <v>70</v>
      </c>
      <c r="F14" s="6"/>
      <c r="G14" s="6"/>
    </row>
    <row r="15" customFormat="false" ht="15" hidden="false" customHeight="false" outlineLevel="0" collapsed="false">
      <c r="A15" s="5" t="s">
        <v>83</v>
      </c>
      <c r="B15" s="6" t="s">
        <v>84</v>
      </c>
      <c r="C15" s="7" t="n">
        <v>0.9</v>
      </c>
      <c r="D15" s="6" t="s">
        <v>75</v>
      </c>
      <c r="E15" s="6" t="s">
        <v>76</v>
      </c>
      <c r="F15" s="6" t="n">
        <v>0.85</v>
      </c>
      <c r="G15" s="6" t="n">
        <v>0.92</v>
      </c>
    </row>
    <row r="16" customFormat="false" ht="15" hidden="false" customHeight="false" outlineLevel="0" collapsed="false">
      <c r="A16" s="5" t="s">
        <v>85</v>
      </c>
      <c r="B16" s="6" t="s">
        <v>86</v>
      </c>
      <c r="C16" s="7" t="n">
        <v>1</v>
      </c>
      <c r="D16" s="6" t="s">
        <v>75</v>
      </c>
      <c r="E16" s="6" t="s">
        <v>87</v>
      </c>
      <c r="F16" s="6" t="n">
        <v>1</v>
      </c>
      <c r="G16" s="6" t="n">
        <v>1.2</v>
      </c>
    </row>
    <row r="17" customFormat="false" ht="15" hidden="false" customHeight="false" outlineLevel="0" collapsed="false">
      <c r="A17" s="5" t="s">
        <v>88</v>
      </c>
      <c r="B17" s="6" t="s">
        <v>89</v>
      </c>
      <c r="C17" s="7" t="n">
        <v>0.22</v>
      </c>
      <c r="D17" s="6" t="s">
        <v>90</v>
      </c>
      <c r="E17" s="6" t="s">
        <v>91</v>
      </c>
      <c r="F17" s="6"/>
      <c r="G17" s="6"/>
    </row>
    <row r="18" customFormat="false" ht="15" hidden="false" customHeight="false" outlineLevel="0" collapsed="false">
      <c r="A18" s="5" t="s">
        <v>92</v>
      </c>
      <c r="B18" s="6" t="s">
        <v>93</v>
      </c>
      <c r="C18" s="7" t="n">
        <v>0.096</v>
      </c>
      <c r="D18" s="6" t="s">
        <v>90</v>
      </c>
      <c r="E18" s="6" t="s">
        <v>91</v>
      </c>
      <c r="F18" s="6"/>
      <c r="G18" s="6"/>
    </row>
    <row r="19" customFormat="false" ht="15" hidden="false" customHeight="false" outlineLevel="0" collapsed="false">
      <c r="A19" s="5" t="s">
        <v>94</v>
      </c>
      <c r="B19" s="6" t="s">
        <v>95</v>
      </c>
      <c r="C19" s="7" t="n">
        <v>35.9</v>
      </c>
      <c r="D19" s="6" t="s">
        <v>96</v>
      </c>
      <c r="E19" s="6" t="s">
        <v>97</v>
      </c>
      <c r="F19" s="6"/>
      <c r="G19" s="6"/>
    </row>
    <row r="20" customFormat="false" ht="15" hidden="false" customHeight="false" outlineLevel="0" collapsed="false">
      <c r="A20" s="5" t="s">
        <v>98</v>
      </c>
      <c r="B20" s="6" t="s">
        <v>99</v>
      </c>
      <c r="C20" s="7" t="n">
        <v>22</v>
      </c>
      <c r="D20" s="6" t="s">
        <v>100</v>
      </c>
      <c r="E20" s="6" t="s">
        <v>48</v>
      </c>
      <c r="F20" s="6"/>
      <c r="G20" s="6"/>
    </row>
    <row r="21" customFormat="false" ht="15" hidden="false" customHeight="false" outlineLevel="0" collapsed="false">
      <c r="A21" s="5" t="s">
        <v>101</v>
      </c>
      <c r="B21" s="6" t="s">
        <v>102</v>
      </c>
      <c r="C21" s="7" t="n">
        <v>0.15</v>
      </c>
      <c r="D21" s="6" t="s">
        <v>103</v>
      </c>
      <c r="E21" s="6" t="s">
        <v>76</v>
      </c>
      <c r="F21" s="6"/>
      <c r="G21" s="6"/>
    </row>
    <row r="22" customFormat="false" ht="15" hidden="false" customHeight="false" outlineLevel="0" collapsed="false">
      <c r="A22" s="5" t="s">
        <v>104</v>
      </c>
      <c r="B22" s="6" t="s">
        <v>105</v>
      </c>
      <c r="C22" s="7" t="n">
        <v>3.5</v>
      </c>
      <c r="D22" s="6" t="s">
        <v>66</v>
      </c>
      <c r="E22" s="6" t="s">
        <v>106</v>
      </c>
      <c r="F22" s="6"/>
      <c r="G22" s="6"/>
    </row>
    <row r="23" customFormat="false" ht="15" hidden="false" customHeight="false" outlineLevel="0" collapsed="false">
      <c r="A23" s="5" t="s">
        <v>107</v>
      </c>
      <c r="B23" s="6" t="s">
        <v>108</v>
      </c>
      <c r="C23" s="7" t="n">
        <v>0.92</v>
      </c>
      <c r="D23" s="6" t="s">
        <v>75</v>
      </c>
      <c r="E23" s="6" t="s">
        <v>76</v>
      </c>
      <c r="F23" s="6" t="n">
        <v>0.88</v>
      </c>
      <c r="G23" s="6" t="n">
        <v>0.95</v>
      </c>
    </row>
    <row r="24" customFormat="false" ht="15" hidden="false" customHeight="false" outlineLevel="0" collapsed="false">
      <c r="A24" s="5" t="s">
        <v>109</v>
      </c>
      <c r="B24" s="6" t="s">
        <v>110</v>
      </c>
      <c r="C24" s="7" t="n">
        <v>0.95</v>
      </c>
      <c r="D24" s="6" t="s">
        <v>75</v>
      </c>
      <c r="E24" s="6" t="s">
        <v>76</v>
      </c>
      <c r="F24" s="6" t="n">
        <v>0.92</v>
      </c>
      <c r="G24" s="6" t="n">
        <v>0.97</v>
      </c>
    </row>
    <row r="25" customFormat="false" ht="15" hidden="false" customHeight="false" outlineLevel="0" collapsed="false">
      <c r="A25" s="5" t="s">
        <v>111</v>
      </c>
      <c r="B25" s="6" t="s">
        <v>112</v>
      </c>
      <c r="C25" s="7" t="n">
        <v>8</v>
      </c>
      <c r="D25" s="6" t="s">
        <v>103</v>
      </c>
      <c r="E25" s="6" t="s">
        <v>113</v>
      </c>
      <c r="F25" s="6"/>
      <c r="G25" s="6"/>
    </row>
    <row r="26" customFormat="false" ht="15" hidden="false" customHeight="false" outlineLevel="0" collapsed="false">
      <c r="A26" s="5" t="s">
        <v>114</v>
      </c>
      <c r="B26" s="6" t="s">
        <v>115</v>
      </c>
      <c r="C26" s="7" t="n">
        <v>0.92</v>
      </c>
      <c r="D26" s="6" t="s">
        <v>75</v>
      </c>
      <c r="E26" s="6" t="s">
        <v>76</v>
      </c>
      <c r="F26" s="6"/>
      <c r="G26" s="6"/>
    </row>
    <row r="27" customFormat="false" ht="15" hidden="false" customHeight="false" outlineLevel="0" collapsed="false">
      <c r="A27" s="5" t="s">
        <v>116</v>
      </c>
      <c r="B27" s="6" t="s">
        <v>117</v>
      </c>
      <c r="C27" s="7" t="n">
        <v>300</v>
      </c>
      <c r="D27" s="6" t="s">
        <v>118</v>
      </c>
      <c r="E27" s="6" t="s">
        <v>113</v>
      </c>
      <c r="F27" s="6"/>
      <c r="G27" s="6"/>
    </row>
    <row r="28" customFormat="false" ht="15" hidden="false" customHeight="false" outlineLevel="0" collapsed="false">
      <c r="A28" s="5" t="s">
        <v>119</v>
      </c>
      <c r="B28" s="6" t="s">
        <v>120</v>
      </c>
      <c r="C28" s="7" t="n">
        <v>1</v>
      </c>
      <c r="D28" s="6" t="s">
        <v>121</v>
      </c>
      <c r="E28" s="6" t="s">
        <v>113</v>
      </c>
      <c r="F28" s="6"/>
      <c r="G28" s="6"/>
    </row>
    <row r="29" customFormat="false" ht="15" hidden="false" customHeight="false" outlineLevel="0" collapsed="false">
      <c r="A29" s="5" t="s">
        <v>122</v>
      </c>
      <c r="B29" s="6" t="s">
        <v>123</v>
      </c>
      <c r="C29" s="7" t="n">
        <v>15.4</v>
      </c>
      <c r="D29" s="6" t="s">
        <v>124</v>
      </c>
      <c r="E29" s="6" t="s">
        <v>60</v>
      </c>
      <c r="F29" s="6"/>
      <c r="G29" s="6"/>
    </row>
    <row r="30" customFormat="false" ht="15" hidden="false" customHeight="false" outlineLevel="0" collapsed="false">
      <c r="A30" s="5" t="s">
        <v>125</v>
      </c>
      <c r="B30" s="6" t="s">
        <v>126</v>
      </c>
      <c r="C30" s="7" t="n">
        <v>6.3</v>
      </c>
      <c r="D30" s="6" t="s">
        <v>66</v>
      </c>
      <c r="E30" s="6" t="s">
        <v>60</v>
      </c>
      <c r="F30" s="6"/>
      <c r="G30" s="6"/>
    </row>
    <row r="31" customFormat="false" ht="15" hidden="false" customHeight="false" outlineLevel="0" collapsed="false">
      <c r="A31" s="5" t="s">
        <v>127</v>
      </c>
      <c r="B31" s="6" t="s">
        <v>128</v>
      </c>
      <c r="C31" s="7" t="n">
        <v>452.12</v>
      </c>
      <c r="D31" s="6" t="s">
        <v>129</v>
      </c>
      <c r="E31" s="6" t="s">
        <v>130</v>
      </c>
      <c r="F31" s="6"/>
      <c r="G31" s="6"/>
    </row>
    <row r="32" customFormat="false" ht="15" hidden="false" customHeight="false" outlineLevel="0" collapsed="false">
      <c r="A32" s="5" t="s">
        <v>131</v>
      </c>
      <c r="B32" s="6" t="s">
        <v>132</v>
      </c>
      <c r="C32" s="7" t="n">
        <v>13300</v>
      </c>
      <c r="D32" s="6" t="s">
        <v>133</v>
      </c>
      <c r="E32" s="6" t="s">
        <v>134</v>
      </c>
      <c r="F32" s="6"/>
      <c r="G32" s="6"/>
    </row>
    <row r="33" customFormat="false" ht="15" hidden="false" customHeight="false" outlineLevel="0" collapsed="false">
      <c r="A33" s="5" t="s">
        <v>135</v>
      </c>
      <c r="B33" s="6" t="s">
        <v>136</v>
      </c>
      <c r="C33" s="7" t="n">
        <v>5050</v>
      </c>
      <c r="D33" s="6" t="s">
        <v>133</v>
      </c>
      <c r="E33" s="6" t="s">
        <v>137</v>
      </c>
      <c r="F33" s="6"/>
      <c r="G33" s="6"/>
    </row>
    <row r="34" customFormat="false" ht="15" hidden="false" customHeight="false" outlineLevel="0" collapsed="false">
      <c r="A34" s="5" t="s">
        <v>138</v>
      </c>
      <c r="B34" s="6" t="s">
        <v>139</v>
      </c>
      <c r="C34" s="7" t="n">
        <v>1.467</v>
      </c>
      <c r="D34" s="6" t="s">
        <v>75</v>
      </c>
      <c r="E34" s="6" t="s">
        <v>140</v>
      </c>
      <c r="F34" s="6" t="n">
        <v>1.3</v>
      </c>
      <c r="G34" s="6" t="n">
        <v>1.65</v>
      </c>
    </row>
    <row r="35" customFormat="false" ht="15" hidden="false" customHeight="false" outlineLevel="0" collapsed="false">
      <c r="A35" s="5" t="s">
        <v>141</v>
      </c>
      <c r="B35" s="6" t="s">
        <v>142</v>
      </c>
      <c r="C35" s="7" t="n">
        <v>45.59</v>
      </c>
      <c r="D35" s="6" t="s">
        <v>143</v>
      </c>
      <c r="E35" s="6" t="s">
        <v>144</v>
      </c>
      <c r="F35" s="6" t="n">
        <v>39.3</v>
      </c>
      <c r="G35" s="6" t="n">
        <v>55</v>
      </c>
    </row>
    <row r="36" customFormat="false" ht="15" hidden="false" customHeight="false" outlineLevel="0" collapsed="false">
      <c r="A36" s="5" t="s">
        <v>145</v>
      </c>
      <c r="B36" s="6" t="s">
        <v>146</v>
      </c>
      <c r="C36" s="7" t="n">
        <v>345</v>
      </c>
      <c r="D36" s="6" t="s">
        <v>147</v>
      </c>
      <c r="E36" s="6" t="s">
        <v>148</v>
      </c>
      <c r="F36" s="6" t="n">
        <v>300</v>
      </c>
      <c r="G36" s="6" t="n">
        <v>400</v>
      </c>
    </row>
    <row r="37" customFormat="false" ht="15" hidden="false" customHeight="false" outlineLevel="0" collapsed="false">
      <c r="A37" s="5" t="s">
        <v>149</v>
      </c>
      <c r="B37" s="6" t="s">
        <v>150</v>
      </c>
      <c r="C37" s="7" t="n">
        <v>365262</v>
      </c>
      <c r="D37" s="6" t="s">
        <v>151</v>
      </c>
      <c r="E37" s="6" t="s">
        <v>152</v>
      </c>
      <c r="F37" s="6"/>
      <c r="G37" s="6"/>
    </row>
    <row r="38" customFormat="false" ht="15" hidden="false" customHeight="false" outlineLevel="0" collapsed="false">
      <c r="A38" s="5" t="s">
        <v>153</v>
      </c>
      <c r="B38" s="6" t="s">
        <v>154</v>
      </c>
      <c r="C38" s="7" t="n">
        <v>166</v>
      </c>
      <c r="D38" s="6" t="s">
        <v>103</v>
      </c>
      <c r="E38" s="6" t="s">
        <v>113</v>
      </c>
      <c r="F38" s="6"/>
      <c r="G38" s="6"/>
    </row>
    <row r="39" customFormat="false" ht="15" hidden="false" customHeight="false" outlineLevel="0" collapsed="false">
      <c r="A39" s="5" t="s">
        <v>155</v>
      </c>
      <c r="B39" s="6" t="s">
        <v>156</v>
      </c>
      <c r="C39" s="7" t="n">
        <v>1.15</v>
      </c>
      <c r="D39" s="6" t="s">
        <v>75</v>
      </c>
      <c r="E39" s="6" t="s">
        <v>76</v>
      </c>
      <c r="F39" s="6"/>
      <c r="G39" s="6"/>
    </row>
    <row r="40" customFormat="false" ht="15" hidden="false" customHeight="false" outlineLevel="0" collapsed="false">
      <c r="A40" s="5" t="s">
        <v>157</v>
      </c>
      <c r="B40" s="6" t="s">
        <v>158</v>
      </c>
      <c r="C40" s="7" t="n">
        <v>600</v>
      </c>
      <c r="D40" s="6" t="s">
        <v>159</v>
      </c>
      <c r="E40" s="6" t="s">
        <v>76</v>
      </c>
      <c r="F40" s="6" t="n">
        <v>300</v>
      </c>
      <c r="G40" s="6" t="n">
        <v>1000</v>
      </c>
    </row>
    <row r="41" customFormat="false" ht="15" hidden="false" customHeight="false" outlineLevel="0" collapsed="false">
      <c r="A41" s="5" t="s">
        <v>160</v>
      </c>
      <c r="B41" s="6" t="s">
        <v>161</v>
      </c>
      <c r="C41" s="7" t="n">
        <v>10</v>
      </c>
      <c r="D41" s="6" t="s">
        <v>162</v>
      </c>
      <c r="E41" s="6" t="s">
        <v>76</v>
      </c>
      <c r="F41" s="6"/>
      <c r="G41" s="6"/>
    </row>
    <row r="42" customFormat="false" ht="15" hidden="false" customHeight="false" outlineLevel="0" collapsed="false">
      <c r="A42" s="5" t="s">
        <v>163</v>
      </c>
      <c r="B42" s="6" t="s">
        <v>164</v>
      </c>
      <c r="C42" s="7" t="n">
        <v>0.05</v>
      </c>
      <c r="D42" s="6" t="s">
        <v>75</v>
      </c>
      <c r="E42" s="6" t="s">
        <v>76</v>
      </c>
      <c r="F42" s="6" t="n">
        <v>0</v>
      </c>
      <c r="G42" s="6" t="n">
        <v>0.1</v>
      </c>
    </row>
    <row r="43" customFormat="false" ht="15" hidden="false" customHeight="false" outlineLevel="0" collapsed="false">
      <c r="A43" s="5" t="s">
        <v>165</v>
      </c>
      <c r="B43" s="6" t="s">
        <v>166</v>
      </c>
      <c r="C43" s="7" t="n">
        <v>0.2</v>
      </c>
      <c r="D43" s="6" t="s">
        <v>167</v>
      </c>
      <c r="E43" s="6" t="s">
        <v>76</v>
      </c>
      <c r="F43" s="6"/>
      <c r="G43" s="6"/>
    </row>
    <row r="44" customFormat="false" ht="15" hidden="false" customHeight="false" outlineLevel="0" collapsed="false">
      <c r="A44" s="5" t="s">
        <v>168</v>
      </c>
      <c r="B44" s="6" t="s">
        <v>169</v>
      </c>
      <c r="C44" s="7" t="n">
        <v>0.007</v>
      </c>
      <c r="D44" s="6" t="s">
        <v>75</v>
      </c>
      <c r="E44" s="6" t="s">
        <v>91</v>
      </c>
      <c r="F44" s="6"/>
      <c r="G44" s="6"/>
    </row>
    <row r="45" customFormat="false" ht="15" hidden="false" customHeight="false" outlineLevel="0" collapsed="false">
      <c r="A45" s="5" t="s">
        <v>170</v>
      </c>
      <c r="B45" s="6" t="s">
        <v>171</v>
      </c>
      <c r="C45" s="7" t="n">
        <v>2</v>
      </c>
      <c r="D45" s="6" t="s">
        <v>75</v>
      </c>
      <c r="E45" s="6" t="s">
        <v>91</v>
      </c>
      <c r="F45" s="6"/>
      <c r="G45" s="6"/>
    </row>
    <row r="46" customFormat="false" ht="15" hidden="false" customHeight="false" outlineLevel="0" collapsed="false">
      <c r="A46" s="5" t="s">
        <v>172</v>
      </c>
      <c r="B46" s="6" t="s">
        <v>173</v>
      </c>
      <c r="C46" s="7" t="n">
        <v>0.6</v>
      </c>
      <c r="D46" s="6" t="s">
        <v>75</v>
      </c>
      <c r="E46" s="6" t="s">
        <v>76</v>
      </c>
      <c r="F46" s="6" t="n">
        <v>0.4</v>
      </c>
      <c r="G46" s="6" t="n">
        <v>1</v>
      </c>
    </row>
    <row r="47" customFormat="false" ht="15" hidden="false" customHeight="false" outlineLevel="0" collapsed="false">
      <c r="A47" s="5" t="s">
        <v>174</v>
      </c>
      <c r="B47" s="6" t="s">
        <v>175</v>
      </c>
      <c r="C47" s="7" t="n">
        <v>200</v>
      </c>
      <c r="D47" s="6" t="s">
        <v>176</v>
      </c>
      <c r="E47" s="6" t="s">
        <v>177</v>
      </c>
      <c r="F47" s="6" t="n">
        <v>100</v>
      </c>
      <c r="G47" s="6" t="n">
        <v>300</v>
      </c>
    </row>
    <row r="48" customFormat="false" ht="15" hidden="false" customHeight="false" outlineLevel="0" collapsed="false">
      <c r="A48" s="5" t="s">
        <v>178</v>
      </c>
      <c r="B48" s="6" t="s">
        <v>179</v>
      </c>
      <c r="C48" s="7" t="n">
        <v>3000</v>
      </c>
      <c r="D48" s="6" t="s">
        <v>180</v>
      </c>
      <c r="E48" s="6" t="s">
        <v>76</v>
      </c>
      <c r="F48" s="6"/>
      <c r="G48" s="6"/>
    </row>
    <row r="49" customFormat="false" ht="15" hidden="false" customHeight="false" outlineLevel="0" collapsed="false">
      <c r="A49" s="5" t="s">
        <v>181</v>
      </c>
      <c r="B49" s="6" t="s">
        <v>182</v>
      </c>
      <c r="C49" s="7" t="n">
        <v>10</v>
      </c>
      <c r="D49" s="6" t="s">
        <v>162</v>
      </c>
      <c r="E49" s="6" t="s">
        <v>76</v>
      </c>
      <c r="F49" s="6"/>
      <c r="G49" s="6"/>
    </row>
    <row r="50" customFormat="false" ht="15" hidden="false" customHeight="false" outlineLevel="0" collapsed="false">
      <c r="A50" s="5" t="s">
        <v>183</v>
      </c>
      <c r="B50" s="6" t="s">
        <v>184</v>
      </c>
      <c r="C50" s="7" t="n">
        <v>0.606</v>
      </c>
      <c r="D50" s="6" t="s">
        <v>185</v>
      </c>
      <c r="E50" s="6" t="s">
        <v>186</v>
      </c>
      <c r="F50" s="6" t="n">
        <v>0.45</v>
      </c>
      <c r="G50" s="6" t="n">
        <v>1</v>
      </c>
    </row>
    <row r="51" customFormat="false" ht="15" hidden="false" customHeight="false" outlineLevel="0" collapsed="false">
      <c r="A51" s="5" t="s">
        <v>187</v>
      </c>
      <c r="B51" s="6" t="s">
        <v>188</v>
      </c>
      <c r="C51" s="7" t="n">
        <v>2.68</v>
      </c>
      <c r="D51" s="6" t="s">
        <v>189</v>
      </c>
      <c r="E51" s="6" t="s">
        <v>190</v>
      </c>
      <c r="F51" s="6"/>
      <c r="G51" s="6"/>
    </row>
    <row r="52" customFormat="false" ht="15" hidden="false" customHeight="false" outlineLevel="0" collapsed="false">
      <c r="A52" s="5" t="s">
        <v>191</v>
      </c>
      <c r="B52" s="6" t="s">
        <v>192</v>
      </c>
      <c r="C52" s="7" t="n">
        <v>2.5</v>
      </c>
      <c r="D52" s="6" t="s">
        <v>75</v>
      </c>
      <c r="E52" s="6" t="s">
        <v>193</v>
      </c>
      <c r="F52" s="6" t="n">
        <v>2.1</v>
      </c>
      <c r="G52" s="6" t="n">
        <v>3</v>
      </c>
    </row>
    <row r="53" customFormat="false" ht="15" hidden="false" customHeight="false" outlineLevel="0" collapsed="false">
      <c r="A53" s="5" t="s">
        <v>194</v>
      </c>
      <c r="B53" s="6" t="s">
        <v>195</v>
      </c>
      <c r="C53" s="7" t="n">
        <v>1.15</v>
      </c>
      <c r="D53" s="6" t="s">
        <v>75</v>
      </c>
      <c r="E53" s="6" t="s">
        <v>196</v>
      </c>
      <c r="F53" s="6"/>
      <c r="G53" s="6"/>
    </row>
    <row r="54" customFormat="false" ht="15" hidden="false" customHeight="false" outlineLevel="0" collapsed="false">
      <c r="A54" s="5" t="s">
        <v>197</v>
      </c>
      <c r="B54" s="6" t="s">
        <v>198</v>
      </c>
      <c r="C54" s="7" t="n">
        <v>0.18</v>
      </c>
      <c r="D54" s="6" t="s">
        <v>75</v>
      </c>
      <c r="E54" s="6" t="s">
        <v>76</v>
      </c>
      <c r="F54" s="6"/>
      <c r="G54" s="6"/>
    </row>
    <row r="55" customFormat="false" ht="15" hidden="false" customHeight="false" outlineLevel="0" collapsed="false">
      <c r="A55" s="5" t="s">
        <v>199</v>
      </c>
      <c r="B55" s="6" t="s">
        <v>200</v>
      </c>
      <c r="C55" s="7" t="n">
        <v>0</v>
      </c>
      <c r="D55" s="6" t="s">
        <v>201</v>
      </c>
      <c r="E55" s="6" t="s">
        <v>202</v>
      </c>
      <c r="F55" s="6"/>
      <c r="G55" s="6"/>
    </row>
    <row r="56" customFormat="false" ht="15" hidden="false" customHeight="false" outlineLevel="0" collapsed="false">
      <c r="A56" s="5" t="s">
        <v>203</v>
      </c>
      <c r="B56" s="6" t="s">
        <v>204</v>
      </c>
      <c r="C56" s="7" t="n">
        <v>0.5</v>
      </c>
      <c r="D56" s="6" t="s">
        <v>75</v>
      </c>
      <c r="E56" s="6" t="s">
        <v>205</v>
      </c>
      <c r="F56" s="6"/>
      <c r="G56" s="6"/>
    </row>
    <row r="58" customFormat="false" ht="15" hidden="false" customHeight="false" outlineLevel="0" collapsed="false">
      <c r="A58" s="2" t="s">
        <v>206</v>
      </c>
    </row>
    <row r="59" customFormat="false" ht="15" hidden="false" customHeight="false" outlineLevel="0" collapsed="false">
      <c r="A59" s="5" t="s">
        <v>207</v>
      </c>
      <c r="B59" s="6" t="s">
        <v>208</v>
      </c>
      <c r="C59" s="8" t="n">
        <f aca="false">E_bat_kWh*(SOC_max-SOC_min)/100</f>
        <v>15.878</v>
      </c>
    </row>
    <row r="60" customFormat="false" ht="15" hidden="false" customHeight="false" outlineLevel="0" collapsed="false">
      <c r="A60" s="5" t="s">
        <v>209</v>
      </c>
      <c r="B60" s="6" t="s">
        <v>210</v>
      </c>
      <c r="C60" s="8" t="n">
        <f aca="false">T_shift_h*tau_svc</f>
        <v>7.36</v>
      </c>
    </row>
    <row r="61" customFormat="false" ht="15" hidden="false" customHeight="false" outlineLevel="0" collapsed="false">
      <c r="A61" s="5" t="s">
        <v>211</v>
      </c>
      <c r="B61" s="6" t="s">
        <v>212</v>
      </c>
      <c r="C61" s="8" t="n">
        <f aca="false">l_charge_km/v_transp_kmh</f>
        <v>0.0649350649350649</v>
      </c>
    </row>
    <row r="62" customFormat="false" ht="15" hidden="false" customHeight="false" outlineLevel="0" collapsed="false">
      <c r="A62" s="5" t="s">
        <v>213</v>
      </c>
      <c r="B62" s="6" t="s">
        <v>214</v>
      </c>
      <c r="C62" s="8" t="n">
        <f aca="false">P_transp_kW*t_tr</f>
        <v>0.409090909090909</v>
      </c>
    </row>
    <row r="63" customFormat="false" ht="15" hidden="false" customHeight="false" outlineLevel="0" collapsed="false">
      <c r="A63" s="5" t="s">
        <v>215</v>
      </c>
      <c r="B63" s="6" t="s">
        <v>216</v>
      </c>
      <c r="C63" s="8" t="n">
        <f aca="false">E_use/(eta_ch*eta_bat*P_ch_ac)</f>
        <v>5.19058515854855</v>
      </c>
    </row>
    <row r="64" customFormat="false" ht="15" hidden="false" customHeight="false" outlineLevel="0" collapsed="false">
      <c r="A64" s="5" t="s">
        <v>217</v>
      </c>
      <c r="B64" s="6" t="s">
        <v>218</v>
      </c>
      <c r="C64" s="8" t="n">
        <f aca="false">k_pto_D*P_e_nom_D</f>
        <v>16.56</v>
      </c>
    </row>
    <row r="65" customFormat="false" ht="15" hidden="false" customHeight="false" outlineLevel="0" collapsed="false">
      <c r="A65" s="5" t="s">
        <v>219</v>
      </c>
      <c r="B65" s="6" t="s">
        <v>220</v>
      </c>
      <c r="C65" s="8" t="n">
        <f aca="false">wage_month/h_month*k_soc</f>
        <v>2530.42951807229</v>
      </c>
    </row>
    <row r="66" customFormat="false" ht="15" hidden="false" customHeight="false" outlineLevel="0" collapsed="false">
      <c r="A66" s="5" t="s">
        <v>221</v>
      </c>
      <c r="B66" s="6" t="s">
        <v>222</v>
      </c>
      <c r="C66" s="8" t="n">
        <f aca="false">price_ET_usd*usd_kzt*k_landed</f>
        <v>8821358.532</v>
      </c>
    </row>
    <row r="67" customFormat="false" ht="15" hidden="false" customHeight="false" outlineLevel="0" collapsed="false">
      <c r="A67" s="5" t="s">
        <v>223</v>
      </c>
      <c r="B67" s="6" t="s">
        <v>224</v>
      </c>
      <c r="C67" s="8" t="n">
        <f aca="false">price_D_usd*usd_kzt*k_landed</f>
        <v>3349463.202</v>
      </c>
    </row>
    <row r="68" customFormat="false" ht="15" hidden="false" customHeight="false" outlineLevel="0" collapsed="false">
      <c r="A68" s="5" t="s">
        <v>225</v>
      </c>
      <c r="B68" s="6" t="s">
        <v>226</v>
      </c>
      <c r="C68" s="8" t="n">
        <f aca="false">T_year_h*life_y</f>
        <v>6000</v>
      </c>
    </row>
    <row r="69" customFormat="false" ht="15" hidden="false" customHeight="false" outlineLevel="0" collapsed="false">
      <c r="A69" s="5" t="s">
        <v>227</v>
      </c>
      <c r="B69" s="6" t="s">
        <v>228</v>
      </c>
      <c r="C69" s="8" t="n">
        <f aca="false">ASAE_RF1*price_D*(T_life/1000)^ASAE_RF2/T_life</f>
        <v>140.677454484</v>
      </c>
    </row>
    <row r="70" customFormat="false" ht="15" hidden="false" customHeight="false" outlineLevel="0" collapsed="false">
      <c r="A70" s="5" t="s">
        <v>229</v>
      </c>
      <c r="B70" s="6" t="s">
        <v>230</v>
      </c>
      <c r="C70" s="8" t="n">
        <f aca="false">IF(r_disc=0,1/life_y,r_disc*(1+r_disc)^life_y/((1+r_disc)^life_y-1))</f>
        <v>0.129504574965457</v>
      </c>
    </row>
    <row r="71" customFormat="false" ht="15" hidden="false" customHeight="false" outlineLevel="0" collapsed="false">
      <c r="A71" s="5" t="s">
        <v>231</v>
      </c>
      <c r="B71" s="6" t="s">
        <v>232</v>
      </c>
      <c r="C71" s="8" t="n">
        <f aca="false">IF(r_disc=0,1/life_y,r_disc/((1+r_disc)^life_y-1))</f>
        <v>0.0795045749654566</v>
      </c>
    </row>
    <row r="72" customFormat="false" ht="15" hidden="false" customHeight="false" outlineLevel="0" collapsed="false">
      <c r="A72" s="5" t="s">
        <v>233</v>
      </c>
      <c r="B72" s="6" t="s">
        <v>234</v>
      </c>
      <c r="C72" s="8" t="n">
        <f aca="false">bat_usd_kWh*E_bat_kWh*usd_kzt</f>
        <v>2111400.4</v>
      </c>
    </row>
    <row r="73" customFormat="false" ht="15" hidden="false" customHeight="false" outlineLevel="0" collapsed="false">
      <c r="A73" s="5" t="s">
        <v>235</v>
      </c>
      <c r="B73" s="6" t="s">
        <v>236</v>
      </c>
      <c r="C73" s="8" t="n">
        <f aca="false">k_D*(sfc_a*(eta_ep*(turn_P-P_aux)+P_hyd_idle_D)+sfc_b*P_pto_nom)</f>
        <v>2.16820864</v>
      </c>
    </row>
    <row r="74" customFormat="false" ht="15" hidden="false" customHeight="false" outlineLevel="0" collapsed="false">
      <c r="A74" s="5" t="s">
        <v>237</v>
      </c>
      <c r="B74" s="6" t="s">
        <v>238</v>
      </c>
      <c r="C74" s="8" t="n">
        <f aca="false">k_D*(sfc_a*(eta_ep*(P_transp_kW-P_aux)*m_D/m_ET+P_hyd_idle_D)+sfc_b*P_pto_nom)</f>
        <v>2.66176652307692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B61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3" min="2" style="0" width="7"/>
    <col collapsed="false" customWidth="true" hidden="false" outlineLevel="0" max="4" min="4" style="0" width="6"/>
    <col collapsed="false" customWidth="true" hidden="false" outlineLevel="0" max="5" min="5" style="0" width="11"/>
    <col collapsed="false" customWidth="true" hidden="false" outlineLevel="0" max="27" min="6" style="0" width="9"/>
  </cols>
  <sheetData>
    <row r="1" customFormat="false" ht="45" hidden="false" customHeight="true" outlineLevel="0" collapsed="false">
      <c r="A1" s="4" t="s">
        <v>239</v>
      </c>
      <c r="B1" s="4" t="s">
        <v>240</v>
      </c>
      <c r="C1" s="4" t="s">
        <v>241</v>
      </c>
      <c r="D1" s="4" t="s">
        <v>242</v>
      </c>
      <c r="E1" s="4" t="s">
        <v>243</v>
      </c>
      <c r="F1" s="4" t="s">
        <v>244</v>
      </c>
      <c r="G1" s="4" t="s">
        <v>245</v>
      </c>
      <c r="H1" s="4" t="s">
        <v>246</v>
      </c>
      <c r="I1" s="4" t="s">
        <v>247</v>
      </c>
      <c r="J1" s="4" t="s">
        <v>248</v>
      </c>
      <c r="K1" s="4" t="s">
        <v>249</v>
      </c>
      <c r="L1" s="4" t="s">
        <v>250</v>
      </c>
      <c r="M1" s="4" t="s">
        <v>251</v>
      </c>
      <c r="N1" s="4" t="s">
        <v>252</v>
      </c>
      <c r="O1" s="4" t="s">
        <v>253</v>
      </c>
      <c r="P1" s="4" t="s">
        <v>254</v>
      </c>
      <c r="Q1" s="4" t="s">
        <v>255</v>
      </c>
      <c r="R1" s="4" t="s">
        <v>256</v>
      </c>
      <c r="S1" s="4" t="s">
        <v>257</v>
      </c>
      <c r="T1" s="4" t="s">
        <v>258</v>
      </c>
      <c r="U1" s="4" t="s">
        <v>259</v>
      </c>
      <c r="V1" s="4" t="s">
        <v>260</v>
      </c>
      <c r="W1" s="4" t="s">
        <v>261</v>
      </c>
      <c r="X1" s="4" t="s">
        <v>262</v>
      </c>
      <c r="Y1" s="4" t="s">
        <v>263</v>
      </c>
      <c r="Z1" s="4" t="s">
        <v>264</v>
      </c>
      <c r="AA1" s="4" t="s">
        <v>265</v>
      </c>
      <c r="AB1" s="9" t="s">
        <v>266</v>
      </c>
    </row>
    <row r="2" customFormat="false" ht="15" hidden="false" customHeight="false" outlineLevel="0" collapsed="false">
      <c r="A2" s="6" t="s">
        <v>267</v>
      </c>
      <c r="B2" s="6" t="s">
        <v>268</v>
      </c>
      <c r="C2" s="6" t="n">
        <v>0</v>
      </c>
      <c r="D2" s="6"/>
      <c r="E2" s="6" t="s">
        <v>269</v>
      </c>
      <c r="F2" s="6" t="n">
        <v>0</v>
      </c>
      <c r="G2" s="6" t="n">
        <v>4.5</v>
      </c>
      <c r="H2" s="6" t="s">
        <v>270</v>
      </c>
      <c r="I2" s="6" t="n">
        <v>80</v>
      </c>
      <c r="J2" s="10" t="n">
        <v>3.1968</v>
      </c>
      <c r="K2" s="10" t="n">
        <v>0.075</v>
      </c>
      <c r="L2" s="10" t="n">
        <v>4.7749</v>
      </c>
      <c r="M2" s="10" t="n">
        <v>4.472</v>
      </c>
      <c r="N2" s="10"/>
      <c r="O2" s="10"/>
      <c r="P2" s="10"/>
      <c r="Q2" s="10" t="n">
        <v>0</v>
      </c>
      <c r="R2" s="11"/>
      <c r="S2" s="12"/>
      <c r="T2" s="11" t="n">
        <f aca="false">1-M2/L2</f>
        <v>0.0634358834739993</v>
      </c>
      <c r="U2" s="13"/>
      <c r="V2" s="11" t="n">
        <f aca="false">(M2/3.6)^2</f>
        <v>1.54311604938272</v>
      </c>
      <c r="W2" s="14" t="n">
        <f aca="false">eta_ep*eta_tr*(J2-P_aux)*1000/(L2/3.6)</f>
        <v>1761.36792644872</v>
      </c>
    </row>
    <row r="3" customFormat="false" ht="15" hidden="false" customHeight="false" outlineLevel="0" collapsed="false">
      <c r="A3" s="6" t="s">
        <v>267</v>
      </c>
      <c r="B3" s="6" t="s">
        <v>268</v>
      </c>
      <c r="C3" s="6" t="n">
        <v>0</v>
      </c>
      <c r="D3" s="6"/>
      <c r="E3" s="6" t="s">
        <v>269</v>
      </c>
      <c r="F3" s="6" t="n">
        <v>0</v>
      </c>
      <c r="G3" s="6" t="n">
        <v>4.5</v>
      </c>
      <c r="H3" s="6" t="s">
        <v>270</v>
      </c>
      <c r="I3" s="6" t="n">
        <v>80</v>
      </c>
      <c r="J3" s="10" t="n">
        <v>3.1963</v>
      </c>
      <c r="K3" s="10" t="n">
        <v>0.0752</v>
      </c>
      <c r="L3" s="10" t="n">
        <v>4.7767</v>
      </c>
      <c r="M3" s="10" t="n">
        <v>4.489</v>
      </c>
      <c r="N3" s="10"/>
      <c r="O3" s="10"/>
      <c r="P3" s="10"/>
      <c r="Q3" s="10" t="n">
        <v>0</v>
      </c>
      <c r="R3" s="11"/>
      <c r="S3" s="12"/>
      <c r="T3" s="11" t="n">
        <f aca="false">1-M3/L3</f>
        <v>0.0602298658069379</v>
      </c>
      <c r="U3" s="13"/>
      <c r="V3" s="11" t="n">
        <f aca="false">(M3/3.6)^2</f>
        <v>1.55487044753086</v>
      </c>
      <c r="W3" s="14" t="n">
        <f aca="false">eta_ep*eta_tr*(J3-P_aux)*1000/(L3/3.6)</f>
        <v>1760.41237507066</v>
      </c>
    </row>
    <row r="4" customFormat="false" ht="15" hidden="false" customHeight="false" outlineLevel="0" collapsed="false">
      <c r="A4" s="6" t="s">
        <v>267</v>
      </c>
      <c r="B4" s="6" t="s">
        <v>268</v>
      </c>
      <c r="C4" s="6" t="n">
        <v>0</v>
      </c>
      <c r="D4" s="6"/>
      <c r="E4" s="6" t="s">
        <v>269</v>
      </c>
      <c r="F4" s="6" t="n">
        <v>0</v>
      </c>
      <c r="G4" s="6" t="n">
        <v>4.5</v>
      </c>
      <c r="H4" s="6" t="s">
        <v>270</v>
      </c>
      <c r="I4" s="6" t="n">
        <v>80</v>
      </c>
      <c r="J4" s="10" t="n">
        <v>3.1981</v>
      </c>
      <c r="K4" s="10" t="n">
        <v>0.075</v>
      </c>
      <c r="L4" s="10" t="n">
        <v>4.7771</v>
      </c>
      <c r="M4" s="10" t="n">
        <v>4.515</v>
      </c>
      <c r="N4" s="10"/>
      <c r="O4" s="10"/>
      <c r="P4" s="10"/>
      <c r="Q4" s="10" t="n">
        <v>0</v>
      </c>
      <c r="R4" s="11"/>
      <c r="S4" s="12"/>
      <c r="T4" s="11" t="n">
        <f aca="false">1-M4/L4</f>
        <v>0.054865922840217</v>
      </c>
      <c r="U4" s="13"/>
      <c r="V4" s="11" t="n">
        <f aca="false">(M4/3.6)^2</f>
        <v>1.57293402777778</v>
      </c>
      <c r="W4" s="14" t="n">
        <f aca="false">eta_ep*eta_tr*(J4-P_aux)*1000/(L4/3.6)</f>
        <v>1761.31542232735</v>
      </c>
    </row>
    <row r="5" customFormat="false" ht="15" hidden="false" customHeight="false" outlineLevel="0" collapsed="false">
      <c r="A5" s="6" t="s">
        <v>267</v>
      </c>
      <c r="B5" s="6" t="s">
        <v>268</v>
      </c>
      <c r="C5" s="6" t="n">
        <v>0</v>
      </c>
      <c r="D5" s="6"/>
      <c r="E5" s="6" t="s">
        <v>269</v>
      </c>
      <c r="F5" s="6" t="n">
        <v>0</v>
      </c>
      <c r="G5" s="6" t="n">
        <v>4.5</v>
      </c>
      <c r="H5" s="6" t="s">
        <v>270</v>
      </c>
      <c r="I5" s="6" t="n">
        <v>80</v>
      </c>
      <c r="J5" s="10" t="n">
        <v>3.1988</v>
      </c>
      <c r="K5" s="10" t="n">
        <v>0.073</v>
      </c>
      <c r="L5" s="10" t="n">
        <v>4.7763</v>
      </c>
      <c r="M5" s="10" t="n">
        <v>4.539</v>
      </c>
      <c r="N5" s="10"/>
      <c r="O5" s="10"/>
      <c r="P5" s="10"/>
      <c r="Q5" s="10" t="n">
        <v>0</v>
      </c>
      <c r="R5" s="11"/>
      <c r="S5" s="12"/>
      <c r="T5" s="11" t="n">
        <f aca="false">1-M5/L5</f>
        <v>0.0496828088687897</v>
      </c>
      <c r="U5" s="13"/>
      <c r="V5" s="11" t="n">
        <f aca="false">(M5/3.6)^2</f>
        <v>1.58970069444444</v>
      </c>
      <c r="W5" s="14" t="n">
        <f aca="false">eta_ep*eta_tr*(J5-P_aux)*1000/(L5/3.6)</f>
        <v>1762.01900885623</v>
      </c>
    </row>
    <row r="6" customFormat="false" ht="15" hidden="false" customHeight="false" outlineLevel="0" collapsed="false">
      <c r="A6" s="6" t="s">
        <v>267</v>
      </c>
      <c r="B6" s="6" t="s">
        <v>268</v>
      </c>
      <c r="C6" s="6" t="n">
        <v>1</v>
      </c>
      <c r="D6" s="6" t="n">
        <v>1</v>
      </c>
      <c r="E6" s="6" t="s">
        <v>271</v>
      </c>
      <c r="F6" s="6" t="n">
        <v>0.11</v>
      </c>
      <c r="G6" s="6" t="n">
        <v>5.4</v>
      </c>
      <c r="H6" s="6" t="s">
        <v>270</v>
      </c>
      <c r="I6" s="6" t="n">
        <v>67</v>
      </c>
      <c r="J6" s="10" t="n">
        <v>15.2588</v>
      </c>
      <c r="K6" s="10" t="n">
        <v>0.5465</v>
      </c>
      <c r="L6" s="10" t="n">
        <v>6.3439</v>
      </c>
      <c r="M6" s="10" t="n">
        <v>5.409</v>
      </c>
      <c r="N6" s="10" t="n">
        <v>0.1068</v>
      </c>
      <c r="O6" s="10" t="n">
        <v>0.0047</v>
      </c>
      <c r="P6" s="10" t="n">
        <v>1.204</v>
      </c>
      <c r="Q6" s="10" t="n">
        <v>0</v>
      </c>
      <c r="R6" s="11" t="n">
        <f aca="false">IF(P6="","",0.1*P6*M6)</f>
        <v>0.6512436</v>
      </c>
      <c r="S6" s="12" t="n">
        <f aca="false">IF(R6="","",J6/R6)</f>
        <v>23.4302494489005</v>
      </c>
      <c r="T6" s="11" t="n">
        <f aca="false">1-M6/L6</f>
        <v>0.147369914405965</v>
      </c>
      <c r="U6" s="13" t="n">
        <f aca="false">IF(R6="","",3.6*J6/(P6*N6*M6))</f>
        <v>78.9783689288782</v>
      </c>
      <c r="V6" s="11" t="n">
        <f aca="false">(M6/3.6)^2</f>
        <v>2.25750625</v>
      </c>
      <c r="W6" s="14" t="n">
        <f aca="false">eta_ep*eta_tr*(J6-P_aux)*1000/(L6/3.6)</f>
        <v>6626.40990431753</v>
      </c>
      <c r="X6" s="14" t="n">
        <f aca="false">W6-f_roll*m_ET*g</f>
        <v>4865.13122114179</v>
      </c>
      <c r="Y6" s="12" t="n">
        <f aca="false">X6/(P6*N6)/1000</f>
        <v>37.8352683715159</v>
      </c>
      <c r="Z6" s="11" t="n">
        <f aca="false">X6/(m_ET*g)</f>
        <v>0.381489157150615</v>
      </c>
    </row>
    <row r="7" customFormat="false" ht="15" hidden="false" customHeight="false" outlineLevel="0" collapsed="false">
      <c r="A7" s="6" t="s">
        <v>267</v>
      </c>
      <c r="B7" s="6" t="s">
        <v>268</v>
      </c>
      <c r="C7" s="6" t="n">
        <v>2</v>
      </c>
      <c r="D7" s="6" t="n">
        <v>1</v>
      </c>
      <c r="E7" s="6" t="s">
        <v>271</v>
      </c>
      <c r="F7" s="6" t="n">
        <v>0.08</v>
      </c>
      <c r="G7" s="6" t="n">
        <v>5.4</v>
      </c>
      <c r="H7" s="6" t="s">
        <v>270</v>
      </c>
      <c r="I7" s="6" t="n">
        <v>66</v>
      </c>
      <c r="J7" s="10" t="n">
        <v>11.6538</v>
      </c>
      <c r="K7" s="10" t="n">
        <v>0.5561</v>
      </c>
      <c r="L7" s="10" t="n">
        <v>6.1274</v>
      </c>
      <c r="M7" s="10" t="n">
        <v>5.403</v>
      </c>
      <c r="N7" s="10" t="n">
        <v>0.0774</v>
      </c>
      <c r="O7" s="10" t="n">
        <v>0.0047</v>
      </c>
      <c r="P7" s="10" t="n">
        <v>1.208</v>
      </c>
      <c r="Q7" s="10" t="n">
        <v>0</v>
      </c>
      <c r="R7" s="11" t="n">
        <f aca="false">IF(P7="","",0.1*P7*M7)</f>
        <v>0.6526824</v>
      </c>
      <c r="S7" s="12" t="n">
        <f aca="false">IF(R7="","",J7/R7)</f>
        <v>17.8552386275469</v>
      </c>
      <c r="T7" s="11" t="n">
        <f aca="false">1-M7/L7</f>
        <v>0.118223063615889</v>
      </c>
      <c r="U7" s="13" t="n">
        <f aca="false">IF(R7="","",3.6*J7/(P7*N7*M7))</f>
        <v>83.0476215234739</v>
      </c>
      <c r="V7" s="11" t="n">
        <f aca="false">(M7/3.6)^2</f>
        <v>2.25250069444444</v>
      </c>
      <c r="W7" s="14" t="n">
        <f aca="false">eta_ep*eta_tr*(J7-P_aux)*1000/(L7/3.6)</f>
        <v>5220.34118745308</v>
      </c>
      <c r="X7" s="14" t="n">
        <f aca="false">W7-f_roll*m_ET*g</f>
        <v>3459.06250427734</v>
      </c>
      <c r="Y7" s="12" t="n">
        <f aca="false">X7/(P7*N7)/1000</f>
        <v>36.9956374415753</v>
      </c>
      <c r="Z7" s="11" t="n">
        <f aca="false">X7/(m_ET*g)</f>
        <v>0.271235199896286</v>
      </c>
    </row>
    <row r="8" customFormat="false" ht="15" hidden="false" customHeight="false" outlineLevel="0" collapsed="false">
      <c r="A8" s="6" t="s">
        <v>267</v>
      </c>
      <c r="B8" s="6" t="s">
        <v>268</v>
      </c>
      <c r="C8" s="6" t="n">
        <v>3</v>
      </c>
      <c r="D8" s="6" t="n">
        <v>1</v>
      </c>
      <c r="E8" s="6" t="s">
        <v>271</v>
      </c>
      <c r="F8" s="6" t="n">
        <v>0.14</v>
      </c>
      <c r="G8" s="6" t="n">
        <v>4.5</v>
      </c>
      <c r="H8" s="6" t="s">
        <v>270</v>
      </c>
      <c r="I8" s="6" t="n">
        <v>80</v>
      </c>
      <c r="J8" s="10" t="n">
        <v>15.7265</v>
      </c>
      <c r="K8" s="10" t="n">
        <v>0.4797</v>
      </c>
      <c r="L8" s="10" t="n">
        <v>5.5371</v>
      </c>
      <c r="M8" s="10" t="n">
        <v>4.452</v>
      </c>
      <c r="N8" s="10" t="n">
        <v>0.1388</v>
      </c>
      <c r="O8" s="10" t="n">
        <v>0.0052</v>
      </c>
      <c r="P8" s="10" t="n">
        <v>1.19</v>
      </c>
      <c r="Q8" s="10" t="n">
        <v>0</v>
      </c>
      <c r="R8" s="11" t="n">
        <f aca="false">IF(P8="","",0.1*P8*M8)</f>
        <v>0.529788</v>
      </c>
      <c r="S8" s="12" t="n">
        <f aca="false">IF(R8="","",J8/R8)</f>
        <v>29.6845153155602</v>
      </c>
      <c r="T8" s="11" t="n">
        <f aca="false">1-M8/L8</f>
        <v>0.195969009048058</v>
      </c>
      <c r="U8" s="13" t="n">
        <f aca="false">IF(R8="","",3.6*J8/(P8*N8*M8))</f>
        <v>76.9915382824328</v>
      </c>
      <c r="V8" s="11" t="n">
        <f aca="false">(M8/3.6)^2</f>
        <v>1.52934444444444</v>
      </c>
      <c r="W8" s="14" t="n">
        <f aca="false">eta_ep*eta_tr*(J8-P_aux)*1000/(L8/3.6)</f>
        <v>7827.41047840928</v>
      </c>
      <c r="X8" s="14" t="n">
        <f aca="false">W8-f_roll*m_ET*g</f>
        <v>6066.13179523354</v>
      </c>
      <c r="Y8" s="12" t="n">
        <f aca="false">X8/(P8*N8)/1000</f>
        <v>36.7261508926061</v>
      </c>
      <c r="Z8" s="11" t="n">
        <f aca="false">X8/(m_ET*g)</f>
        <v>0.47566312202882</v>
      </c>
    </row>
    <row r="9" customFormat="false" ht="15" hidden="false" customHeight="false" outlineLevel="0" collapsed="false">
      <c r="A9" s="6" t="s">
        <v>267</v>
      </c>
      <c r="B9" s="6" t="s">
        <v>268</v>
      </c>
      <c r="C9" s="6" t="n">
        <v>4</v>
      </c>
      <c r="D9" s="6" t="n">
        <v>1</v>
      </c>
      <c r="E9" s="6" t="s">
        <v>271</v>
      </c>
      <c r="F9" s="6" t="n">
        <v>0.11</v>
      </c>
      <c r="G9" s="6" t="n">
        <v>4.5</v>
      </c>
      <c r="H9" s="6" t="s">
        <v>270</v>
      </c>
      <c r="I9" s="6" t="n">
        <v>79</v>
      </c>
      <c r="J9" s="10" t="n">
        <v>11.9966</v>
      </c>
      <c r="K9" s="10" t="n">
        <v>0.582</v>
      </c>
      <c r="L9" s="10" t="n">
        <v>5.2782</v>
      </c>
      <c r="M9" s="10" t="n">
        <v>4.547</v>
      </c>
      <c r="N9" s="10" t="n">
        <v>0.1076</v>
      </c>
      <c r="O9" s="10" t="n">
        <v>0.006</v>
      </c>
      <c r="P9" s="10" t="n">
        <v>1.185</v>
      </c>
      <c r="Q9" s="10" t="n">
        <v>0</v>
      </c>
      <c r="R9" s="11" t="n">
        <f aca="false">IF(P9="","",0.1*P9*M9)</f>
        <v>0.5388195</v>
      </c>
      <c r="S9" s="12" t="n">
        <f aca="false">IF(R9="","",J9/R9)</f>
        <v>22.264598812775</v>
      </c>
      <c r="T9" s="11" t="n">
        <f aca="false">1-M9/L9</f>
        <v>0.138532075328711</v>
      </c>
      <c r="U9" s="13" t="n">
        <f aca="false">IF(R9="","",3.6*J9/(P9*N9*M9))</f>
        <v>74.4912227936709</v>
      </c>
      <c r="V9" s="11" t="n">
        <f aca="false">(M9/3.6)^2</f>
        <v>1.59530933641975</v>
      </c>
      <c r="W9" s="14" t="n">
        <f aca="false">eta_ep*eta_tr*(J9-P_aux)*1000/(L9/3.6)</f>
        <v>6241.29251335683</v>
      </c>
      <c r="X9" s="14" t="n">
        <f aca="false">W9-f_roll*m_ET*g</f>
        <v>4480.01383018109</v>
      </c>
      <c r="Y9" s="12" t="n">
        <f aca="false">X9/(P9*N9)/1000</f>
        <v>35.1357099287962</v>
      </c>
      <c r="Z9" s="11" t="n">
        <f aca="false">X9/(m_ET*g)</f>
        <v>0.351290977039213</v>
      </c>
    </row>
    <row r="10" customFormat="false" ht="15" hidden="false" customHeight="false" outlineLevel="0" collapsed="false">
      <c r="A10" s="6" t="s">
        <v>267</v>
      </c>
      <c r="B10" s="6" t="s">
        <v>268</v>
      </c>
      <c r="C10" s="6" t="n">
        <v>5</v>
      </c>
      <c r="D10" s="6" t="n">
        <v>1</v>
      </c>
      <c r="E10" s="6" t="s">
        <v>271</v>
      </c>
      <c r="F10" s="6" t="n">
        <v>0.11</v>
      </c>
      <c r="G10" s="6" t="n">
        <v>3.6</v>
      </c>
      <c r="H10" s="6" t="s">
        <v>270</v>
      </c>
      <c r="I10" s="6" t="n">
        <v>100</v>
      </c>
      <c r="J10" s="10" t="n">
        <v>10.0252</v>
      </c>
      <c r="K10" s="10" t="n">
        <v>0.375</v>
      </c>
      <c r="L10" s="10" t="n">
        <v>4.2077</v>
      </c>
      <c r="M10" s="10" t="n">
        <v>3.572</v>
      </c>
      <c r="N10" s="10" t="n">
        <v>0.1121</v>
      </c>
      <c r="O10" s="10" t="n">
        <v>0.0048</v>
      </c>
      <c r="P10" s="10" t="n">
        <v>1.207</v>
      </c>
      <c r="Q10" s="10" t="n">
        <v>0</v>
      </c>
      <c r="R10" s="11" t="n">
        <f aca="false">IF(P10="","",0.1*P10*M10)</f>
        <v>0.4311404</v>
      </c>
      <c r="S10" s="12" t="n">
        <f aca="false">IF(R10="","",J10/R10)</f>
        <v>23.2527501482116</v>
      </c>
      <c r="T10" s="11" t="n">
        <f aca="false">1-M10/L10</f>
        <v>0.151080162559118</v>
      </c>
      <c r="U10" s="13" t="n">
        <f aca="false">IF(R10="","",3.6*J10/(P10*N10*M10))</f>
        <v>74.6743091289578</v>
      </c>
      <c r="V10" s="11" t="n">
        <f aca="false">(M10/3.6)^2</f>
        <v>0.984504938271605</v>
      </c>
      <c r="W10" s="14" t="n">
        <f aca="false">eta_ep*eta_tr*(J10-P_aux)*1000/(L10/3.6)</f>
        <v>6523.00362858569</v>
      </c>
      <c r="X10" s="14" t="n">
        <f aca="false">W10-f_roll*m_ET*g</f>
        <v>4761.72494540995</v>
      </c>
      <c r="Y10" s="12" t="n">
        <f aca="false">X10/(P10*N10)/1000</f>
        <v>35.1926056183558</v>
      </c>
      <c r="Z10" s="11" t="n">
        <f aca="false">X10/(m_ET*g)</f>
        <v>0.37338076887085</v>
      </c>
    </row>
    <row r="11" customFormat="false" ht="15" hidden="false" customHeight="false" outlineLevel="0" collapsed="false">
      <c r="A11" s="6" t="s">
        <v>267</v>
      </c>
      <c r="B11" s="6" t="s">
        <v>268</v>
      </c>
      <c r="C11" s="6" t="n">
        <v>6</v>
      </c>
      <c r="D11" s="6" t="n">
        <v>1</v>
      </c>
      <c r="E11" s="6" t="s">
        <v>271</v>
      </c>
      <c r="F11" s="6" t="n">
        <v>0.08</v>
      </c>
      <c r="G11" s="6" t="n">
        <v>4.5</v>
      </c>
      <c r="H11" s="6" t="s">
        <v>270</v>
      </c>
      <c r="I11" s="6" t="n">
        <v>80</v>
      </c>
      <c r="J11" s="10" t="n">
        <v>9.1676</v>
      </c>
      <c r="K11" s="10" t="n">
        <v>0.3946</v>
      </c>
      <c r="L11" s="10" t="n">
        <v>5.0943</v>
      </c>
      <c r="M11" s="10" t="n">
        <v>4.564</v>
      </c>
      <c r="N11" s="10" t="n">
        <v>0.0794</v>
      </c>
      <c r="O11" s="10" t="n">
        <v>0.006</v>
      </c>
      <c r="P11" s="10" t="n">
        <v>1.191</v>
      </c>
      <c r="Q11" s="10" t="n">
        <v>0</v>
      </c>
      <c r="R11" s="11" t="n">
        <f aca="false">IF(P11="","",0.1*P11*M11)</f>
        <v>0.5435724</v>
      </c>
      <c r="S11" s="12" t="n">
        <f aca="false">IF(R11="","",J11/R11)</f>
        <v>16.8654626320247</v>
      </c>
      <c r="T11" s="11" t="n">
        <f aca="false">1-M11/L11</f>
        <v>0.104096735567202</v>
      </c>
      <c r="U11" s="13" t="n">
        <f aca="false">IF(R11="","",3.6*J11/(P11*N11*M11))</f>
        <v>76.4680925381474</v>
      </c>
      <c r="V11" s="11" t="n">
        <f aca="false">(M11/3.6)^2</f>
        <v>1.60726049382716</v>
      </c>
      <c r="W11" s="14" t="n">
        <f aca="false">eta_ep*eta_tr*(J11-P_aux)*1000/(L11/3.6)</f>
        <v>4918.43644543902</v>
      </c>
      <c r="X11" s="14" t="n">
        <f aca="false">W11-f_roll*m_ET*g</f>
        <v>3157.15776226328</v>
      </c>
      <c r="Y11" s="12" t="n">
        <f aca="false">X11/(P11*N11)/1000</f>
        <v>33.3859716372297</v>
      </c>
      <c r="Z11" s="11" t="n">
        <f aca="false">X11/(m_ET*g)</f>
        <v>0.247561966773566</v>
      </c>
    </row>
    <row r="12" customFormat="false" ht="15" hidden="false" customHeight="false" outlineLevel="0" collapsed="false">
      <c r="A12" s="6" t="s">
        <v>267</v>
      </c>
      <c r="B12" s="6" t="s">
        <v>268</v>
      </c>
      <c r="C12" s="6" t="n">
        <v>7</v>
      </c>
      <c r="D12" s="6" t="n">
        <v>1</v>
      </c>
      <c r="E12" s="6" t="s">
        <v>271</v>
      </c>
      <c r="F12" s="6" t="n">
        <v>0.08</v>
      </c>
      <c r="G12" s="6" t="n">
        <v>3.6</v>
      </c>
      <c r="H12" s="6" t="s">
        <v>270</v>
      </c>
      <c r="I12" s="6" t="n">
        <v>100</v>
      </c>
      <c r="J12" s="10" t="n">
        <v>7.483</v>
      </c>
      <c r="K12" s="10" t="n">
        <v>0.2448</v>
      </c>
      <c r="L12" s="10" t="n">
        <v>4.0675</v>
      </c>
      <c r="M12" s="10" t="n">
        <v>3.63</v>
      </c>
      <c r="N12" s="10" t="n">
        <v>0.0772</v>
      </c>
      <c r="O12" s="10" t="n">
        <v>0.0049</v>
      </c>
      <c r="P12" s="10" t="n">
        <v>1.205</v>
      </c>
      <c r="Q12" s="10" t="n">
        <v>0</v>
      </c>
      <c r="R12" s="11" t="n">
        <f aca="false">IF(P12="","",0.1*P12*M12)</f>
        <v>0.437415</v>
      </c>
      <c r="S12" s="12" t="n">
        <f aca="false">IF(R12="","",J12/R12)</f>
        <v>17.1073237086062</v>
      </c>
      <c r="T12" s="11" t="n">
        <f aca="false">1-M12/L12</f>
        <v>0.107559926244622</v>
      </c>
      <c r="U12" s="13" t="n">
        <f aca="false">IF(R12="","",3.6*J12/(P12*N12*M12))</f>
        <v>79.7750846515317</v>
      </c>
      <c r="V12" s="11" t="n">
        <f aca="false">(M12/3.6)^2</f>
        <v>1.01673611111111</v>
      </c>
      <c r="W12" s="14" t="n">
        <f aca="false">eta_ep*eta_tr*(J12-P_aux)*1000/(L12/3.6)</f>
        <v>5005.43221143208</v>
      </c>
      <c r="X12" s="14" t="n">
        <f aca="false">W12-f_roll*m_ET*g</f>
        <v>3244.15352825634</v>
      </c>
      <c r="Y12" s="12" t="n">
        <f aca="false">X12/(P12*N12)/1000</f>
        <v>34.8736216569168</v>
      </c>
      <c r="Z12" s="11" t="n">
        <f aca="false">X12/(m_ET*g)</f>
        <v>0.254383559025825</v>
      </c>
    </row>
    <row r="13" customFormat="false" ht="15" hidden="false" customHeight="false" outlineLevel="0" collapsed="false">
      <c r="A13" s="6" t="s">
        <v>267</v>
      </c>
      <c r="B13" s="6" t="s">
        <v>268</v>
      </c>
      <c r="C13" s="6" t="n">
        <v>8</v>
      </c>
      <c r="D13" s="6" t="n">
        <v>1</v>
      </c>
      <c r="E13" s="6" t="s">
        <v>271</v>
      </c>
      <c r="F13" s="6" t="n">
        <v>0.14</v>
      </c>
      <c r="G13" s="6" t="n">
        <v>3.6</v>
      </c>
      <c r="H13" s="6" t="s">
        <v>270</v>
      </c>
      <c r="I13" s="6" t="n">
        <v>100</v>
      </c>
      <c r="J13" s="10" t="n">
        <v>11.9499</v>
      </c>
      <c r="K13" s="10" t="n">
        <v>0.4091</v>
      </c>
      <c r="L13" s="10" t="n">
        <v>4.4038</v>
      </c>
      <c r="M13" s="10" t="n">
        <v>3.581</v>
      </c>
      <c r="N13" s="10" t="n">
        <v>0.1382</v>
      </c>
      <c r="O13" s="10" t="n">
        <v>0.0052</v>
      </c>
      <c r="P13" s="10" t="n">
        <v>1.187</v>
      </c>
      <c r="Q13" s="10" t="n">
        <v>0</v>
      </c>
      <c r="R13" s="11" t="n">
        <f aca="false">IF(P13="","",0.1*P13*M13)</f>
        <v>0.4250647</v>
      </c>
      <c r="S13" s="12" t="n">
        <f aca="false">IF(R13="","",J13/R13)</f>
        <v>28.1131319537943</v>
      </c>
      <c r="T13" s="11" t="n">
        <f aca="false">1-M13/L13</f>
        <v>0.186838639356919</v>
      </c>
      <c r="U13" s="13" t="n">
        <f aca="false">IF(R13="","",3.6*J13/(P13*N13*M13))</f>
        <v>73.2324710807957</v>
      </c>
      <c r="V13" s="11" t="n">
        <f aca="false">(M13/3.6)^2</f>
        <v>0.989472299382716</v>
      </c>
      <c r="W13" s="14" t="n">
        <f aca="false">eta_ep*eta_tr*(J13-P_aux)*1000/(L13/3.6)</f>
        <v>7450.97370816113</v>
      </c>
      <c r="X13" s="14" t="n">
        <f aca="false">W13-f_roll*m_ET*g</f>
        <v>5689.69502498539</v>
      </c>
      <c r="Y13" s="12" t="n">
        <f aca="false">X13/(P13*N13)/1000</f>
        <v>34.6840837545759</v>
      </c>
      <c r="Z13" s="11" t="n">
        <f aca="false">X13/(m_ET*g)</f>
        <v>0.446145614756167</v>
      </c>
    </row>
    <row r="14" customFormat="false" ht="15" hidden="false" customHeight="false" outlineLevel="0" collapsed="false">
      <c r="A14" s="6" t="s">
        <v>267</v>
      </c>
      <c r="B14" s="6" t="s">
        <v>268</v>
      </c>
      <c r="C14" s="6" t="n">
        <v>9</v>
      </c>
      <c r="D14" s="6" t="n">
        <v>2</v>
      </c>
      <c r="E14" s="6" t="s">
        <v>271</v>
      </c>
      <c r="F14" s="6" t="n">
        <v>0.08</v>
      </c>
      <c r="G14" s="6" t="n">
        <v>5.4</v>
      </c>
      <c r="H14" s="6" t="s">
        <v>270</v>
      </c>
      <c r="I14" s="6" t="n">
        <v>67</v>
      </c>
      <c r="J14" s="10" t="n">
        <v>12.0397</v>
      </c>
      <c r="K14" s="10" t="n">
        <v>0.3817</v>
      </c>
      <c r="L14" s="10" t="n">
        <v>6.1255</v>
      </c>
      <c r="M14" s="10" t="n">
        <v>5.407</v>
      </c>
      <c r="N14" s="10" t="n">
        <v>0.0807</v>
      </c>
      <c r="O14" s="10" t="n">
        <v>0.0053</v>
      </c>
      <c r="P14" s="10" t="n">
        <v>1.195</v>
      </c>
      <c r="Q14" s="10" t="n">
        <v>0</v>
      </c>
      <c r="R14" s="11" t="n">
        <f aca="false">IF(P14="","",0.1*P14*M14)</f>
        <v>0.6461365</v>
      </c>
      <c r="S14" s="12" t="n">
        <f aca="false">IF(R14="","",J14/R14)</f>
        <v>18.6333692648535</v>
      </c>
      <c r="T14" s="11" t="n">
        <f aca="false">1-M14/L14</f>
        <v>0.117296547220635</v>
      </c>
      <c r="U14" s="13" t="n">
        <f aca="false">IF(R14="","",3.6*J14/(P14*N14*M14))</f>
        <v>83.1228368692349</v>
      </c>
      <c r="V14" s="11" t="n">
        <f aca="false">(M14/3.6)^2</f>
        <v>2.25583711419753</v>
      </c>
      <c r="W14" s="14" t="n">
        <f aca="false">eta_ep*eta_tr*(J14-P_aux)*1000/(L14/3.6)</f>
        <v>5397.59138813158</v>
      </c>
      <c r="X14" s="14" t="n">
        <f aca="false">W14-f_roll*m_ET*g</f>
        <v>3636.31270495584</v>
      </c>
      <c r="Y14" s="12" t="n">
        <f aca="false">X14/(P14*N14)/1000</f>
        <v>37.7068091952305</v>
      </c>
      <c r="Z14" s="11" t="n">
        <f aca="false">X14/(m_ET*g)</f>
        <v>0.285133906136269</v>
      </c>
    </row>
    <row r="15" customFormat="false" ht="15" hidden="false" customHeight="false" outlineLevel="0" collapsed="false">
      <c r="A15" s="6" t="s">
        <v>267</v>
      </c>
      <c r="B15" s="6" t="s">
        <v>268</v>
      </c>
      <c r="C15" s="6" t="n">
        <v>10</v>
      </c>
      <c r="D15" s="6" t="n">
        <v>2</v>
      </c>
      <c r="E15" s="6" t="s">
        <v>271</v>
      </c>
      <c r="F15" s="6" t="n">
        <v>0.08</v>
      </c>
      <c r="G15" s="6" t="n">
        <v>4.5</v>
      </c>
      <c r="H15" s="6" t="s">
        <v>270</v>
      </c>
      <c r="I15" s="6" t="n">
        <v>80</v>
      </c>
      <c r="J15" s="10" t="n">
        <v>9.4895</v>
      </c>
      <c r="K15" s="10" t="n">
        <v>0.4175</v>
      </c>
      <c r="L15" s="10" t="n">
        <v>5.0954</v>
      </c>
      <c r="M15" s="10" t="n">
        <v>4.511</v>
      </c>
      <c r="N15" s="10" t="n">
        <v>0.0789</v>
      </c>
      <c r="O15" s="10" t="n">
        <v>0.0053</v>
      </c>
      <c r="P15" s="10" t="n">
        <v>1.198</v>
      </c>
      <c r="Q15" s="10" t="n">
        <v>0</v>
      </c>
      <c r="R15" s="11" t="n">
        <f aca="false">IF(P15="","",0.1*P15*M15)</f>
        <v>0.5404178</v>
      </c>
      <c r="S15" s="12" t="n">
        <f aca="false">IF(R15="","",J15/R15)</f>
        <v>17.5595622498001</v>
      </c>
      <c r="T15" s="11" t="n">
        <f aca="false">1-M15/L15</f>
        <v>0.114691682694195</v>
      </c>
      <c r="U15" s="13" t="n">
        <f aca="false">IF(R15="","",3.6*J15/(P15*N15*M15))</f>
        <v>80.119675664487</v>
      </c>
      <c r="V15" s="11" t="n">
        <f aca="false">(M15/3.6)^2</f>
        <v>1.57014822530864</v>
      </c>
      <c r="W15" s="14" t="n">
        <f aca="false">eta_ep*eta_tr*(J15-P_aux)*1000/(L15/3.6)</f>
        <v>5093.49540369745</v>
      </c>
      <c r="X15" s="14" t="n">
        <f aca="false">W15-f_roll*m_ET*g</f>
        <v>3332.21672052171</v>
      </c>
      <c r="Y15" s="12" t="n">
        <f aca="false">X15/(P15*N15)/1000</f>
        <v>35.2532708773358</v>
      </c>
      <c r="Z15" s="11" t="n">
        <f aca="false">X15/(m_ET*g)</f>
        <v>0.261288851291595</v>
      </c>
    </row>
    <row r="16" customFormat="false" ht="15" hidden="false" customHeight="false" outlineLevel="0" collapsed="false">
      <c r="A16" s="6" t="s">
        <v>267</v>
      </c>
      <c r="B16" s="6" t="s">
        <v>268</v>
      </c>
      <c r="C16" s="6" t="n">
        <v>11</v>
      </c>
      <c r="D16" s="6" t="n">
        <v>2</v>
      </c>
      <c r="E16" s="6" t="s">
        <v>271</v>
      </c>
      <c r="F16" s="6" t="n">
        <v>0.08</v>
      </c>
      <c r="G16" s="6" t="n">
        <v>3.6</v>
      </c>
      <c r="H16" s="6" t="s">
        <v>270</v>
      </c>
      <c r="I16" s="6" t="n">
        <v>100</v>
      </c>
      <c r="J16" s="10" t="n">
        <v>7.6455</v>
      </c>
      <c r="K16" s="10" t="n">
        <v>0.2684</v>
      </c>
      <c r="L16" s="10" t="n">
        <v>4.0688</v>
      </c>
      <c r="M16" s="10" t="n">
        <v>3.591</v>
      </c>
      <c r="N16" s="10" t="n">
        <v>0.081</v>
      </c>
      <c r="O16" s="10" t="n">
        <v>0.0049</v>
      </c>
      <c r="P16" s="10" t="n">
        <v>1.197</v>
      </c>
      <c r="Q16" s="10" t="n">
        <v>0</v>
      </c>
      <c r="R16" s="11" t="n">
        <f aca="false">IF(P16="","",0.1*P16*M16)</f>
        <v>0.4298427</v>
      </c>
      <c r="S16" s="12" t="n">
        <f aca="false">IF(R16="","",J16/R16)</f>
        <v>17.7867391955243</v>
      </c>
      <c r="T16" s="11" t="n">
        <f aca="false">1-M16/L16</f>
        <v>0.117430200550531</v>
      </c>
      <c r="U16" s="13" t="n">
        <f aca="false">IF(R16="","",3.6*J16/(P16*N16*M16))</f>
        <v>79.0521742023303</v>
      </c>
      <c r="V16" s="11" t="n">
        <f aca="false">(M16/3.6)^2</f>
        <v>0.99500625</v>
      </c>
      <c r="W16" s="14" t="n">
        <f aca="false">eta_ep*eta_tr*(J16-P_aux)*1000/(L16/3.6)</f>
        <v>5115.17388910735</v>
      </c>
      <c r="X16" s="14" t="n">
        <f aca="false">W16-f_roll*m_ET*g</f>
        <v>3353.89520593161</v>
      </c>
      <c r="Y16" s="12" t="n">
        <f aca="false">X16/(P16*N16)/1000</f>
        <v>34.591573645344</v>
      </c>
      <c r="Z16" s="11" t="n">
        <f aca="false">X16/(m_ET*g)</f>
        <v>0.262988724686867</v>
      </c>
    </row>
    <row r="17" customFormat="false" ht="15" hidden="false" customHeight="false" outlineLevel="0" collapsed="false">
      <c r="A17" s="6" t="s">
        <v>267</v>
      </c>
      <c r="B17" s="6" t="s">
        <v>268</v>
      </c>
      <c r="C17" s="6" t="n">
        <v>12</v>
      </c>
      <c r="D17" s="6" t="n">
        <v>2</v>
      </c>
      <c r="E17" s="6" t="s">
        <v>271</v>
      </c>
      <c r="F17" s="6" t="n">
        <v>0.14</v>
      </c>
      <c r="G17" s="6" t="n">
        <v>3.6</v>
      </c>
      <c r="H17" s="6" t="s">
        <v>270</v>
      </c>
      <c r="I17" s="6" t="n">
        <v>100</v>
      </c>
      <c r="J17" s="10" t="n">
        <v>12.2488</v>
      </c>
      <c r="K17" s="10" t="n">
        <v>0.4212</v>
      </c>
      <c r="L17" s="10" t="n">
        <v>4.4028</v>
      </c>
      <c r="M17" s="10" t="n">
        <v>3.581</v>
      </c>
      <c r="N17" s="10" t="n">
        <v>0.1414</v>
      </c>
      <c r="O17" s="10" t="n">
        <v>0.0046</v>
      </c>
      <c r="P17" s="10" t="n">
        <v>1.205</v>
      </c>
      <c r="Q17" s="10" t="n">
        <v>0</v>
      </c>
      <c r="R17" s="11" t="n">
        <f aca="false">IF(P17="","",0.1*P17*M17)</f>
        <v>0.4315105</v>
      </c>
      <c r="S17" s="12" t="n">
        <f aca="false">IF(R17="","",J17/R17)</f>
        <v>28.3858677830551</v>
      </c>
      <c r="T17" s="11" t="n">
        <f aca="false">1-M17/L17</f>
        <v>0.186653947487962</v>
      </c>
      <c r="U17" s="13" t="n">
        <f aca="false">IF(R17="","",3.6*J17/(P17*N17*M17))</f>
        <v>72.2695360813284</v>
      </c>
      <c r="V17" s="11" t="n">
        <f aca="false">(M17/3.6)^2</f>
        <v>0.989472299382716</v>
      </c>
      <c r="W17" s="14" t="n">
        <f aca="false">eta_ep*eta_tr*(J17-P_aux)*1000/(L17/3.6)</f>
        <v>7641.92863450531</v>
      </c>
      <c r="X17" s="14" t="n">
        <f aca="false">W17-f_roll*m_ET*g</f>
        <v>5880.64995132958</v>
      </c>
      <c r="Y17" s="12" t="n">
        <f aca="false">X17/(P17*N17)/1000</f>
        <v>34.5134895932763</v>
      </c>
      <c r="Z17" s="11" t="n">
        <f aca="false">X17/(m_ET*g)</f>
        <v>0.461118948586966</v>
      </c>
    </row>
    <row r="18" customFormat="false" ht="15" hidden="false" customHeight="false" outlineLevel="0" collapsed="false">
      <c r="A18" s="6" t="s">
        <v>267</v>
      </c>
      <c r="B18" s="6" t="s">
        <v>268</v>
      </c>
      <c r="C18" s="6" t="n">
        <v>13</v>
      </c>
      <c r="D18" s="6" t="n">
        <v>2</v>
      </c>
      <c r="E18" s="6" t="s">
        <v>271</v>
      </c>
      <c r="F18" s="6" t="n">
        <v>0.11</v>
      </c>
      <c r="G18" s="6" t="n">
        <v>3.6</v>
      </c>
      <c r="H18" s="6" t="s">
        <v>270</v>
      </c>
      <c r="I18" s="6" t="n">
        <v>100</v>
      </c>
      <c r="J18" s="10" t="n">
        <v>9.537</v>
      </c>
      <c r="K18" s="10" t="n">
        <v>0.3207</v>
      </c>
      <c r="L18" s="10" t="n">
        <v>4.2078</v>
      </c>
      <c r="M18" s="10" t="n">
        <v>3.627</v>
      </c>
      <c r="N18" s="10" t="n">
        <v>0.1072</v>
      </c>
      <c r="O18" s="10" t="n">
        <v>0.0053</v>
      </c>
      <c r="P18" s="10" t="n">
        <v>1.191</v>
      </c>
      <c r="Q18" s="10" t="n">
        <v>0</v>
      </c>
      <c r="R18" s="11" t="n">
        <f aca="false">IF(P18="","",0.1*P18*M18)</f>
        <v>0.4319757</v>
      </c>
      <c r="S18" s="12" t="n">
        <f aca="false">IF(R18="","",J18/R18)</f>
        <v>22.0776307556189</v>
      </c>
      <c r="T18" s="11" t="n">
        <f aca="false">1-M18/L18</f>
        <v>0.138029374019678</v>
      </c>
      <c r="U18" s="13" t="n">
        <f aca="false">IF(R18="","",3.6*J18/(P18*N18*M18))</f>
        <v>74.1412973136455</v>
      </c>
      <c r="V18" s="11" t="n">
        <f aca="false">(M18/3.6)^2</f>
        <v>1.01505625</v>
      </c>
      <c r="W18" s="14" t="n">
        <f aca="false">eta_ep*eta_tr*(J18-P_aux)*1000/(L18/3.6)</f>
        <v>6199.3960929702</v>
      </c>
      <c r="X18" s="14" t="n">
        <f aca="false">W18-f_roll*m_ET*g</f>
        <v>4438.11740979446</v>
      </c>
      <c r="Y18" s="12" t="n">
        <f aca="false">X18/(P18*N18)/1000</f>
        <v>34.7609982971984</v>
      </c>
      <c r="Z18" s="11" t="n">
        <f aca="false">X18/(m_ET*g)</f>
        <v>0.34800575627652</v>
      </c>
    </row>
    <row r="19" customFormat="false" ht="15" hidden="false" customHeight="false" outlineLevel="0" collapsed="false">
      <c r="A19" s="6" t="s">
        <v>267</v>
      </c>
      <c r="B19" s="6" t="s">
        <v>268</v>
      </c>
      <c r="C19" s="6" t="n">
        <v>14</v>
      </c>
      <c r="D19" s="6" t="n">
        <v>2</v>
      </c>
      <c r="E19" s="6" t="s">
        <v>271</v>
      </c>
      <c r="F19" s="6" t="n">
        <v>0.14</v>
      </c>
      <c r="G19" s="6" t="n">
        <v>4.5</v>
      </c>
      <c r="H19" s="6" t="s">
        <v>270</v>
      </c>
      <c r="I19" s="6" t="n">
        <v>81</v>
      </c>
      <c r="J19" s="10" t="n">
        <v>15.9248</v>
      </c>
      <c r="K19" s="10" t="n">
        <v>0.5927</v>
      </c>
      <c r="L19" s="10" t="n">
        <v>5.5352</v>
      </c>
      <c r="M19" s="10" t="n">
        <v>4.441</v>
      </c>
      <c r="N19" s="10" t="n">
        <v>0.1399</v>
      </c>
      <c r="O19" s="10" t="n">
        <v>0.0049</v>
      </c>
      <c r="P19" s="10" t="n">
        <v>1.193</v>
      </c>
      <c r="Q19" s="10" t="n">
        <v>0</v>
      </c>
      <c r="R19" s="11" t="n">
        <f aca="false">IF(P19="","",0.1*P19*M19)</f>
        <v>0.5298113</v>
      </c>
      <c r="S19" s="12" t="n">
        <f aca="false">IF(R19="","",J19/R19)</f>
        <v>30.0574940549588</v>
      </c>
      <c r="T19" s="11" t="n">
        <f aca="false">1-M19/L19</f>
        <v>0.197680300621477</v>
      </c>
      <c r="U19" s="13" t="n">
        <f aca="false">IF(R19="","",3.6*J19/(P19*N19*M19))</f>
        <v>77.3459461028247</v>
      </c>
      <c r="V19" s="11" t="n">
        <f aca="false">(M19/3.6)^2</f>
        <v>1.52179637345679</v>
      </c>
      <c r="W19" s="14" t="n">
        <f aca="false">eta_ep*eta_tr*(J19-P_aux)*1000/(L19/3.6)</f>
        <v>7929.97240063593</v>
      </c>
      <c r="X19" s="14" t="n">
        <f aca="false">W19-f_roll*m_ET*g</f>
        <v>6168.69371746019</v>
      </c>
      <c r="Y19" s="12" t="n">
        <f aca="false">X19/(P19*N19)/1000</f>
        <v>36.9602627038724</v>
      </c>
      <c r="Z19" s="11" t="n">
        <f aca="false">X19/(m_ET*g)</f>
        <v>0.483705302082662</v>
      </c>
    </row>
    <row r="20" customFormat="false" ht="15" hidden="false" customHeight="false" outlineLevel="0" collapsed="false">
      <c r="A20" s="6" t="s">
        <v>267</v>
      </c>
      <c r="B20" s="6" t="s">
        <v>268</v>
      </c>
      <c r="C20" s="6" t="n">
        <v>15</v>
      </c>
      <c r="D20" s="6" t="n">
        <v>2</v>
      </c>
      <c r="E20" s="6" t="s">
        <v>271</v>
      </c>
      <c r="F20" s="6" t="n">
        <v>0.11</v>
      </c>
      <c r="G20" s="6" t="n">
        <v>4.5</v>
      </c>
      <c r="H20" s="6" t="s">
        <v>270</v>
      </c>
      <c r="I20" s="6" t="n">
        <v>80</v>
      </c>
      <c r="J20" s="10" t="n">
        <v>12.0488</v>
      </c>
      <c r="K20" s="10" t="n">
        <v>0.3691</v>
      </c>
      <c r="L20" s="10" t="n">
        <v>5.2769</v>
      </c>
      <c r="M20" s="10" t="n">
        <v>4.502</v>
      </c>
      <c r="N20" s="10" t="n">
        <v>0.1058</v>
      </c>
      <c r="O20" s="10" t="n">
        <v>0.0042</v>
      </c>
      <c r="P20" s="10" t="n">
        <v>1.19</v>
      </c>
      <c r="Q20" s="10" t="n">
        <v>0</v>
      </c>
      <c r="R20" s="11" t="n">
        <f aca="false">IF(P20="","",0.1*P20*M20)</f>
        <v>0.535738</v>
      </c>
      <c r="S20" s="12" t="n">
        <f aca="false">IF(R20="","",J20/R20)</f>
        <v>22.490097771672</v>
      </c>
      <c r="T20" s="11" t="n">
        <f aca="false">1-M20/L20</f>
        <v>0.146847580966098</v>
      </c>
      <c r="U20" s="13" t="n">
        <f aca="false">IF(R20="","",3.6*J20/(P20*N20*M20))</f>
        <v>76.525852531209</v>
      </c>
      <c r="V20" s="11" t="n">
        <f aca="false">(M20/3.6)^2</f>
        <v>1.56388919753086</v>
      </c>
      <c r="W20" s="14" t="n">
        <f aca="false">eta_ep*eta_tr*(J20-P_aux)*1000/(L20/3.6)</f>
        <v>6270.40788948057</v>
      </c>
      <c r="X20" s="14" t="n">
        <f aca="false">W20-f_roll*m_ET*g</f>
        <v>4509.12920630483</v>
      </c>
      <c r="Y20" s="12" t="n">
        <f aca="false">X20/(P20*N20)/1000</f>
        <v>35.8145955291006</v>
      </c>
      <c r="Z20" s="11" t="n">
        <f aca="false">X20/(m_ET*g)</f>
        <v>0.353573998769296</v>
      </c>
    </row>
    <row r="21" customFormat="false" ht="15" hidden="false" customHeight="false" outlineLevel="0" collapsed="false">
      <c r="A21" s="6" t="s">
        <v>267</v>
      </c>
      <c r="B21" s="6" t="s">
        <v>268</v>
      </c>
      <c r="C21" s="6" t="n">
        <v>16</v>
      </c>
      <c r="D21" s="6" t="n">
        <v>2</v>
      </c>
      <c r="E21" s="6" t="s">
        <v>271</v>
      </c>
      <c r="F21" s="6" t="n">
        <v>0.11</v>
      </c>
      <c r="G21" s="6" t="n">
        <v>5.4</v>
      </c>
      <c r="H21" s="6" t="s">
        <v>270</v>
      </c>
      <c r="I21" s="6" t="n">
        <v>67</v>
      </c>
      <c r="J21" s="10" t="n">
        <v>15.5588</v>
      </c>
      <c r="K21" s="10" t="n">
        <v>0.752</v>
      </c>
      <c r="L21" s="10" t="n">
        <v>6.3622</v>
      </c>
      <c r="M21" s="10" t="n">
        <v>5.339</v>
      </c>
      <c r="N21" s="10" t="n">
        <v>0.1113</v>
      </c>
      <c r="O21" s="10" t="n">
        <v>0.0058</v>
      </c>
      <c r="P21" s="10" t="n">
        <v>1.198</v>
      </c>
      <c r="Q21" s="10" t="n">
        <v>0</v>
      </c>
      <c r="R21" s="11" t="n">
        <f aca="false">IF(P21="","",0.1*P21*M21)</f>
        <v>0.6396122</v>
      </c>
      <c r="S21" s="12" t="n">
        <f aca="false">IF(R21="","",J21/R21)</f>
        <v>24.325364650643</v>
      </c>
      <c r="T21" s="11" t="n">
        <f aca="false">1-M21/L21</f>
        <v>0.160824871899657</v>
      </c>
      <c r="U21" s="13" t="n">
        <f aca="false">IF(R21="","",3.6*J21/(P21*N21*M21))</f>
        <v>78.6804247460151</v>
      </c>
      <c r="V21" s="11" t="n">
        <f aca="false">(M21/3.6)^2</f>
        <v>2.1994537808642</v>
      </c>
      <c r="W21" s="14" t="n">
        <f aca="false">eta_ep*eta_tr*(J21-P_aux)*1000/(L21/3.6)</f>
        <v>6738.80635503442</v>
      </c>
      <c r="X21" s="14" t="n">
        <f aca="false">W21-f_roll*m_ET*g</f>
        <v>4977.52767185868</v>
      </c>
      <c r="Y21" s="12" t="n">
        <f aca="false">X21/(P21*N21)/1000</f>
        <v>37.3303189642117</v>
      </c>
      <c r="Z21" s="11" t="n">
        <f aca="false">X21/(m_ET*g)</f>
        <v>0.390302491324291</v>
      </c>
    </row>
    <row r="22" customFormat="false" ht="15" hidden="false" customHeight="false" outlineLevel="0" collapsed="false">
      <c r="A22" s="6" t="s">
        <v>267</v>
      </c>
      <c r="B22" s="6" t="s">
        <v>268</v>
      </c>
      <c r="C22" s="6" t="n">
        <v>17</v>
      </c>
      <c r="D22" s="6" t="n">
        <v>3</v>
      </c>
      <c r="E22" s="6" t="s">
        <v>271</v>
      </c>
      <c r="F22" s="6" t="n">
        <v>0.14</v>
      </c>
      <c r="G22" s="6" t="n">
        <v>4.5</v>
      </c>
      <c r="H22" s="6" t="s">
        <v>270</v>
      </c>
      <c r="I22" s="6" t="n">
        <v>79</v>
      </c>
      <c r="J22" s="10" t="n">
        <v>14.8919</v>
      </c>
      <c r="K22" s="10" t="n">
        <v>0.5294</v>
      </c>
      <c r="L22" s="10" t="n">
        <v>5.5328</v>
      </c>
      <c r="M22" s="10" t="n">
        <v>4.533</v>
      </c>
      <c r="N22" s="10" t="n">
        <v>0.1373</v>
      </c>
      <c r="O22" s="10" t="n">
        <v>0.0048</v>
      </c>
      <c r="P22" s="10" t="n">
        <v>1.199</v>
      </c>
      <c r="Q22" s="10" t="n">
        <v>0</v>
      </c>
      <c r="R22" s="11" t="n">
        <f aca="false">IF(P22="","",0.1*P22*M22)</f>
        <v>0.5435067</v>
      </c>
      <c r="S22" s="12" t="n">
        <f aca="false">IF(R22="","",J22/R22)</f>
        <v>27.3996622304748</v>
      </c>
      <c r="T22" s="11" t="n">
        <f aca="false">1-M22/L22</f>
        <v>0.180704164256796</v>
      </c>
      <c r="U22" s="13" t="n">
        <f aca="false">IF(R22="","",3.6*J22/(P22*N22*M22))</f>
        <v>71.8417946319806</v>
      </c>
      <c r="V22" s="11" t="n">
        <f aca="false">(M22/3.6)^2</f>
        <v>1.58550069444444</v>
      </c>
      <c r="W22" s="14" t="n">
        <f aca="false">eta_ep*eta_tr*(J22-P_aux)*1000/(L22/3.6)</f>
        <v>7412.95967611336</v>
      </c>
      <c r="X22" s="14" t="n">
        <f aca="false">W22-f_roll*m_ET*g</f>
        <v>5651.68099293762</v>
      </c>
      <c r="Y22" s="12" t="n">
        <f aca="false">X22/(P22*N22)/1000</f>
        <v>34.3311158967604</v>
      </c>
      <c r="Z22" s="11" t="n">
        <f aca="false">X22/(m_ET*g)</f>
        <v>0.443164823409207</v>
      </c>
    </row>
    <row r="23" customFormat="false" ht="15" hidden="false" customHeight="false" outlineLevel="0" collapsed="false">
      <c r="A23" s="6" t="s">
        <v>267</v>
      </c>
      <c r="B23" s="6" t="s">
        <v>268</v>
      </c>
      <c r="C23" s="6" t="n">
        <v>18</v>
      </c>
      <c r="D23" s="6" t="n">
        <v>3</v>
      </c>
      <c r="E23" s="6" t="s">
        <v>271</v>
      </c>
      <c r="F23" s="6" t="n">
        <v>0.08</v>
      </c>
      <c r="G23" s="6" t="n">
        <v>3.6</v>
      </c>
      <c r="H23" s="6" t="s">
        <v>270</v>
      </c>
      <c r="I23" s="6" t="n">
        <v>100</v>
      </c>
      <c r="J23" s="10" t="n">
        <v>7.1489</v>
      </c>
      <c r="K23" s="10" t="n">
        <v>0.3018</v>
      </c>
      <c r="L23" s="10" t="n">
        <v>4.0682</v>
      </c>
      <c r="M23" s="10" t="n">
        <v>3.629</v>
      </c>
      <c r="N23" s="10" t="n">
        <v>0.077</v>
      </c>
      <c r="O23" s="10" t="n">
        <v>0.0046</v>
      </c>
      <c r="P23" s="10" t="n">
        <v>1.193</v>
      </c>
      <c r="Q23" s="10" t="n">
        <v>0</v>
      </c>
      <c r="R23" s="11" t="n">
        <f aca="false">IF(P23="","",0.1*P23*M23)</f>
        <v>0.4329397</v>
      </c>
      <c r="S23" s="12" t="n">
        <f aca="false">IF(R23="","",J23/R23)</f>
        <v>16.5124612041816</v>
      </c>
      <c r="T23" s="11" t="n">
        <f aca="false">1-M23/L23</f>
        <v>0.107959294036675</v>
      </c>
      <c r="U23" s="13" t="n">
        <f aca="false">IF(R23="","",3.6*J23/(P23*N23*M23))</f>
        <v>77.2011173182514</v>
      </c>
      <c r="V23" s="11" t="n">
        <f aca="false">(M23/3.6)^2</f>
        <v>1.01617600308642</v>
      </c>
      <c r="W23" s="14" t="n">
        <f aca="false">eta_ep*eta_tr*(J23-P_aux)*1000/(L23/3.6)</f>
        <v>4775.62021926159</v>
      </c>
      <c r="X23" s="14" t="n">
        <f aca="false">W23-f_roll*m_ET*g</f>
        <v>3014.34153608585</v>
      </c>
      <c r="Y23" s="12" t="n">
        <f aca="false">X23/(P23*N23)/1000</f>
        <v>32.814159829371</v>
      </c>
      <c r="Z23" s="11" t="n">
        <f aca="false">X23/(m_ET*g)</f>
        <v>0.236363329105767</v>
      </c>
    </row>
    <row r="24" customFormat="false" ht="15" hidden="false" customHeight="false" outlineLevel="0" collapsed="false">
      <c r="A24" s="6" t="s">
        <v>267</v>
      </c>
      <c r="B24" s="6" t="s">
        <v>268</v>
      </c>
      <c r="C24" s="6" t="n">
        <v>19</v>
      </c>
      <c r="D24" s="6" t="n">
        <v>3</v>
      </c>
      <c r="E24" s="6" t="s">
        <v>271</v>
      </c>
      <c r="F24" s="6" t="n">
        <v>0.11</v>
      </c>
      <c r="G24" s="6" t="n">
        <v>5.4</v>
      </c>
      <c r="H24" s="6" t="s">
        <v>270</v>
      </c>
      <c r="I24" s="6" t="n">
        <v>67</v>
      </c>
      <c r="J24" s="10" t="n">
        <v>15.4618</v>
      </c>
      <c r="K24" s="10" t="n">
        <v>0.6421</v>
      </c>
      <c r="L24" s="10" t="n">
        <v>6.3612</v>
      </c>
      <c r="M24" s="10" t="n">
        <v>5.386</v>
      </c>
      <c r="N24" s="10" t="n">
        <v>0.1123</v>
      </c>
      <c r="O24" s="10" t="n">
        <v>0.0054</v>
      </c>
      <c r="P24" s="10" t="n">
        <v>1.207</v>
      </c>
      <c r="Q24" s="10" t="n">
        <v>0</v>
      </c>
      <c r="R24" s="11" t="n">
        <f aca="false">IF(P24="","",0.1*P24*M24)</f>
        <v>0.6500902</v>
      </c>
      <c r="S24" s="12" t="n">
        <f aca="false">IF(R24="","",J24/R24)</f>
        <v>23.7840841163272</v>
      </c>
      <c r="T24" s="11" t="n">
        <f aca="false">1-M24/L24</f>
        <v>0.153304407973338</v>
      </c>
      <c r="U24" s="13" t="n">
        <f aca="false">IF(R24="","",3.6*J24/(P24*N24*M24))</f>
        <v>76.2446151547445</v>
      </c>
      <c r="V24" s="11" t="n">
        <f aca="false">(M24/3.6)^2</f>
        <v>2.23834845679012</v>
      </c>
      <c r="W24" s="14" t="n">
        <f aca="false">eta_ep*eta_tr*(J24-P_aux)*1000/(L24/3.6)</f>
        <v>6697.3547934352</v>
      </c>
      <c r="X24" s="14" t="n">
        <f aca="false">W24-f_roll*m_ET*g</f>
        <v>4936.07611025946</v>
      </c>
      <c r="Y24" s="12" t="n">
        <f aca="false">X24/(P24*N24)/1000</f>
        <v>36.4162164035665</v>
      </c>
      <c r="Z24" s="11" t="n">
        <f aca="false">X24/(m_ET*g)</f>
        <v>0.387052153239196</v>
      </c>
    </row>
    <row r="25" customFormat="false" ht="15" hidden="false" customHeight="false" outlineLevel="0" collapsed="false">
      <c r="A25" s="6" t="s">
        <v>267</v>
      </c>
      <c r="B25" s="6" t="s">
        <v>268</v>
      </c>
      <c r="C25" s="6" t="n">
        <v>20</v>
      </c>
      <c r="D25" s="6" t="n">
        <v>3</v>
      </c>
      <c r="E25" s="6" t="s">
        <v>271</v>
      </c>
      <c r="F25" s="6" t="n">
        <v>0.11</v>
      </c>
      <c r="G25" s="6" t="n">
        <v>3.6</v>
      </c>
      <c r="H25" s="6" t="s">
        <v>270</v>
      </c>
      <c r="I25" s="6" t="n">
        <v>101</v>
      </c>
      <c r="J25" s="10" t="n">
        <v>9.9372</v>
      </c>
      <c r="K25" s="10" t="n">
        <v>0.3073</v>
      </c>
      <c r="L25" s="10" t="n">
        <v>4.2074</v>
      </c>
      <c r="M25" s="10" t="n">
        <v>3.57</v>
      </c>
      <c r="N25" s="10" t="n">
        <v>0.1103</v>
      </c>
      <c r="O25" s="10" t="n">
        <v>0.0054</v>
      </c>
      <c r="P25" s="10" t="n">
        <v>1.203</v>
      </c>
      <c r="Q25" s="10" t="n">
        <v>0</v>
      </c>
      <c r="R25" s="11" t="n">
        <f aca="false">IF(P25="","",0.1*P25*M25)</f>
        <v>0.429471</v>
      </c>
      <c r="S25" s="12" t="n">
        <f aca="false">IF(R25="","",J25/R25)</f>
        <v>23.1382328492494</v>
      </c>
      <c r="T25" s="11" t="n">
        <f aca="false">1-M25/L25</f>
        <v>0.151494985026382</v>
      </c>
      <c r="U25" s="13" t="n">
        <f aca="false">IF(R25="","",3.6*J25/(P25*N25*M25))</f>
        <v>75.5191643311858</v>
      </c>
      <c r="V25" s="11" t="n">
        <f aca="false">(M25/3.6)^2</f>
        <v>0.983402777777778</v>
      </c>
      <c r="W25" s="14" t="n">
        <f aca="false">eta_ep*eta_tr*(J25-P_aux)*1000/(L25/3.6)</f>
        <v>6465.15958739364</v>
      </c>
      <c r="X25" s="14" t="n">
        <f aca="false">W25-f_roll*m_ET*g</f>
        <v>4703.8809042179</v>
      </c>
      <c r="Y25" s="12" t="n">
        <f aca="false">X25/(P25*N25)/1000</f>
        <v>35.4499133265198</v>
      </c>
      <c r="Z25" s="11" t="n">
        <f aca="false">X25/(m_ET*g)</f>
        <v>0.368845048554685</v>
      </c>
    </row>
    <row r="26" customFormat="false" ht="15" hidden="false" customHeight="false" outlineLevel="0" collapsed="false">
      <c r="A26" s="6" t="s">
        <v>267</v>
      </c>
      <c r="B26" s="6" t="s">
        <v>268</v>
      </c>
      <c r="C26" s="6" t="n">
        <v>21</v>
      </c>
      <c r="D26" s="6" t="n">
        <v>3</v>
      </c>
      <c r="E26" s="6" t="s">
        <v>271</v>
      </c>
      <c r="F26" s="6" t="n">
        <v>0.11</v>
      </c>
      <c r="G26" s="6" t="n">
        <v>4.5</v>
      </c>
      <c r="H26" s="6" t="s">
        <v>270</v>
      </c>
      <c r="I26" s="6" t="n">
        <v>79</v>
      </c>
      <c r="J26" s="10" t="n">
        <v>12.0827</v>
      </c>
      <c r="K26" s="10" t="n">
        <v>0.5238</v>
      </c>
      <c r="L26" s="10" t="n">
        <v>5.2775</v>
      </c>
      <c r="M26" s="10" t="n">
        <v>4.536</v>
      </c>
      <c r="N26" s="10" t="n">
        <v>0.1078</v>
      </c>
      <c r="O26" s="10" t="n">
        <v>0.0064</v>
      </c>
      <c r="P26" s="10" t="n">
        <v>1.194</v>
      </c>
      <c r="Q26" s="10" t="n">
        <v>0</v>
      </c>
      <c r="R26" s="11" t="n">
        <f aca="false">IF(P26="","",0.1*P26*M26)</f>
        <v>0.5415984</v>
      </c>
      <c r="S26" s="12" t="n">
        <f aca="false">IF(R26="","",J26/R26)</f>
        <v>22.3093347395413</v>
      </c>
      <c r="T26" s="11" t="n">
        <f aca="false">1-M26/L26</f>
        <v>0.140502131691142</v>
      </c>
      <c r="U26" s="13" t="n">
        <f aca="false">IF(R26="","",3.6*J26/(P26*N26*M26))</f>
        <v>74.5024165698968</v>
      </c>
      <c r="V26" s="11" t="n">
        <f aca="false">(M26/3.6)^2</f>
        <v>1.5876</v>
      </c>
      <c r="W26" s="14" t="n">
        <f aca="false">eta_ep*eta_tr*(J26-P_aux)*1000/(L26/3.6)</f>
        <v>6287.60268460445</v>
      </c>
      <c r="X26" s="14" t="n">
        <f aca="false">W26-f_roll*m_ET*g</f>
        <v>4526.32400142871</v>
      </c>
      <c r="Y26" s="12" t="n">
        <f aca="false">X26/(P26*N26)/1000</f>
        <v>35.165965894941</v>
      </c>
      <c r="Z26" s="11" t="n">
        <f aca="false">X26/(m_ET*g)</f>
        <v>0.354922292905882</v>
      </c>
    </row>
    <row r="27" customFormat="false" ht="15" hidden="false" customHeight="false" outlineLevel="0" collapsed="false">
      <c r="A27" s="6" t="s">
        <v>267</v>
      </c>
      <c r="B27" s="6" t="s">
        <v>268</v>
      </c>
      <c r="C27" s="6" t="n">
        <v>22</v>
      </c>
      <c r="D27" s="6" t="n">
        <v>3</v>
      </c>
      <c r="E27" s="6" t="s">
        <v>271</v>
      </c>
      <c r="F27" s="6" t="n">
        <v>0.08</v>
      </c>
      <c r="G27" s="6" t="n">
        <v>4.5</v>
      </c>
      <c r="H27" s="6" t="s">
        <v>270</v>
      </c>
      <c r="I27" s="6" t="n">
        <v>80</v>
      </c>
      <c r="J27" s="10" t="n">
        <v>9.4872</v>
      </c>
      <c r="K27" s="10" t="n">
        <v>0.2847</v>
      </c>
      <c r="L27" s="10" t="n">
        <v>5.0934</v>
      </c>
      <c r="M27" s="10" t="n">
        <v>4.531</v>
      </c>
      <c r="N27" s="10" t="n">
        <v>0.0803</v>
      </c>
      <c r="O27" s="10" t="n">
        <v>0.0049</v>
      </c>
      <c r="P27" s="10" t="n">
        <v>1.197</v>
      </c>
      <c r="Q27" s="10" t="n">
        <v>0</v>
      </c>
      <c r="R27" s="11" t="n">
        <f aca="false">IF(P27="","",0.1*P27*M27)</f>
        <v>0.5423607</v>
      </c>
      <c r="S27" s="12" t="n">
        <f aca="false">IF(R27="","",J27/R27)</f>
        <v>17.4924178687726</v>
      </c>
      <c r="T27" s="11" t="n">
        <f aca="false">1-M27/L27</f>
        <v>0.110417402913574</v>
      </c>
      <c r="U27" s="13" t="n">
        <f aca="false">IF(R27="","",3.6*J27/(P27*N27*M27))</f>
        <v>78.4217986644848</v>
      </c>
      <c r="V27" s="11" t="n">
        <f aca="false">(M27/3.6)^2</f>
        <v>1.58410192901235</v>
      </c>
      <c r="W27" s="14" t="n">
        <f aca="false">eta_ep*eta_tr*(J27-P_aux)*1000/(L27/3.6)</f>
        <v>5094.23655083049</v>
      </c>
      <c r="X27" s="14" t="n">
        <f aca="false">W27-f_roll*m_ET*g</f>
        <v>3332.95786765475</v>
      </c>
      <c r="Y27" s="12" t="n">
        <f aca="false">X27/(P27*N27)/1000</f>
        <v>34.675292087158</v>
      </c>
      <c r="Z27" s="11" t="n">
        <f aca="false">X27/(m_ET*g)</f>
        <v>0.261346966804262</v>
      </c>
    </row>
    <row r="28" customFormat="false" ht="15" hidden="false" customHeight="false" outlineLevel="0" collapsed="false">
      <c r="A28" s="6" t="s">
        <v>267</v>
      </c>
      <c r="B28" s="6" t="s">
        <v>268</v>
      </c>
      <c r="C28" s="6" t="n">
        <v>23</v>
      </c>
      <c r="D28" s="6" t="n">
        <v>3</v>
      </c>
      <c r="E28" s="6" t="s">
        <v>271</v>
      </c>
      <c r="F28" s="6" t="n">
        <v>0.14</v>
      </c>
      <c r="G28" s="6" t="n">
        <v>3.6</v>
      </c>
      <c r="H28" s="6" t="s">
        <v>270</v>
      </c>
      <c r="I28" s="6" t="n">
        <v>100</v>
      </c>
      <c r="J28" s="10" t="n">
        <v>12.101</v>
      </c>
      <c r="K28" s="10" t="n">
        <v>0.3936</v>
      </c>
      <c r="L28" s="10" t="n">
        <v>4.4049</v>
      </c>
      <c r="M28" s="10" t="n">
        <v>3.608</v>
      </c>
      <c r="N28" s="10" t="n">
        <v>0.1389</v>
      </c>
      <c r="O28" s="10" t="n">
        <v>0.0054</v>
      </c>
      <c r="P28" s="10" t="n">
        <v>1.206</v>
      </c>
      <c r="Q28" s="10" t="n">
        <v>0</v>
      </c>
      <c r="R28" s="11" t="n">
        <f aca="false">IF(P28="","",0.1*P28*M28)</f>
        <v>0.4351248</v>
      </c>
      <c r="S28" s="12" t="n">
        <f aca="false">IF(R28="","",J28/R28)</f>
        <v>27.8104120932661</v>
      </c>
      <c r="T28" s="11" t="n">
        <f aca="false">1-M28/L28</f>
        <v>0.180912165996958</v>
      </c>
      <c r="U28" s="13" t="n">
        <f aca="false">IF(R28="","",3.6*J28/(P28*N28*M28))</f>
        <v>72.0788218399986</v>
      </c>
      <c r="V28" s="11" t="n">
        <f aca="false">(M28/3.6)^2</f>
        <v>1.00444938271605</v>
      </c>
      <c r="W28" s="14" t="n">
        <f aca="false">eta_ep*eta_tr*(J28-P_aux)*1000/(L28/3.6)</f>
        <v>7544.74349928489</v>
      </c>
      <c r="X28" s="14" t="n">
        <f aca="false">W28-f_roll*m_ET*g</f>
        <v>5783.46481610915</v>
      </c>
      <c r="Y28" s="12" t="n">
        <f aca="false">X28/(P28*N28)/1000</f>
        <v>34.5253861249855</v>
      </c>
      <c r="Z28" s="11" t="n">
        <f aca="false">X28/(m_ET*g)</f>
        <v>0.453498378115671</v>
      </c>
    </row>
    <row r="29" customFormat="false" ht="15" hidden="false" customHeight="false" outlineLevel="0" collapsed="false">
      <c r="A29" s="6" t="s">
        <v>267</v>
      </c>
      <c r="B29" s="6" t="s">
        <v>268</v>
      </c>
      <c r="C29" s="6" t="n">
        <v>24</v>
      </c>
      <c r="D29" s="6" t="n">
        <v>3</v>
      </c>
      <c r="E29" s="6" t="s">
        <v>271</v>
      </c>
      <c r="F29" s="6" t="n">
        <v>0.08</v>
      </c>
      <c r="G29" s="6" t="n">
        <v>5.4</v>
      </c>
      <c r="H29" s="6" t="s">
        <v>270</v>
      </c>
      <c r="I29" s="6" t="n">
        <v>66</v>
      </c>
      <c r="J29" s="10" t="n">
        <v>11.5041</v>
      </c>
      <c r="K29" s="10" t="n">
        <v>0.4169</v>
      </c>
      <c r="L29" s="10" t="n">
        <v>6.1276</v>
      </c>
      <c r="M29" s="10" t="n">
        <v>5.435</v>
      </c>
      <c r="N29" s="10" t="n">
        <v>0.0788</v>
      </c>
      <c r="O29" s="10" t="n">
        <v>0.0057</v>
      </c>
      <c r="P29" s="10" t="n">
        <v>1.206</v>
      </c>
      <c r="Q29" s="10" t="n">
        <v>0</v>
      </c>
      <c r="R29" s="11" t="n">
        <f aca="false">IF(P29="","",0.1*P29*M29)</f>
        <v>0.655461</v>
      </c>
      <c r="S29" s="12" t="n">
        <f aca="false">IF(R29="","",J29/R29)</f>
        <v>17.5511586501714</v>
      </c>
      <c r="T29" s="11" t="n">
        <f aca="false">1-M29/L29</f>
        <v>0.11302957112083</v>
      </c>
      <c r="U29" s="13" t="n">
        <f aca="false">IF(R29="","",3.6*J29/(P29*N29*M29))</f>
        <v>80.1829583002755</v>
      </c>
      <c r="V29" s="11" t="n">
        <f aca="false">(M29/3.6)^2</f>
        <v>2.2792611882716</v>
      </c>
      <c r="W29" s="14" t="n">
        <f aca="false">eta_ep*eta_tr*(J29-P_aux)*1000/(L29/3.6)</f>
        <v>5152.06262549775</v>
      </c>
      <c r="X29" s="14" t="n">
        <f aca="false">W29-f_roll*m_ET*g</f>
        <v>3390.78394232201</v>
      </c>
      <c r="Y29" s="12" t="n">
        <f aca="false">X29/(P29*N29)/1000</f>
        <v>35.680143511735</v>
      </c>
      <c r="Z29" s="11" t="n">
        <f aca="false">X29/(m_ET*g)</f>
        <v>0.265881278312711</v>
      </c>
    </row>
    <row r="30" customFormat="false" ht="15" hidden="false" customHeight="false" outlineLevel="0" collapsed="false">
      <c r="A30" s="6" t="s">
        <v>272</v>
      </c>
      <c r="B30" s="6" t="s">
        <v>273</v>
      </c>
      <c r="C30" s="6" t="n">
        <v>0</v>
      </c>
      <c r="D30" s="6"/>
      <c r="E30" s="6" t="s">
        <v>269</v>
      </c>
      <c r="F30" s="6" t="n">
        <v>0</v>
      </c>
      <c r="G30" s="6" t="n">
        <v>2.7</v>
      </c>
      <c r="H30" s="6" t="s">
        <v>274</v>
      </c>
      <c r="I30" s="6" t="n">
        <v>133</v>
      </c>
      <c r="J30" s="10" t="n">
        <v>1.7092</v>
      </c>
      <c r="K30" s="10" t="n">
        <v>0.0564</v>
      </c>
      <c r="L30" s="10" t="n">
        <v>2.8507</v>
      </c>
      <c r="M30" s="10" t="n">
        <v>2.694</v>
      </c>
      <c r="N30" s="10"/>
      <c r="O30" s="10"/>
      <c r="P30" s="10"/>
      <c r="Q30" s="10" t="n">
        <v>0</v>
      </c>
      <c r="R30" s="11"/>
      <c r="S30" s="12"/>
      <c r="T30" s="11" t="n">
        <f aca="false">1-M30/L30</f>
        <v>0.0549689549935103</v>
      </c>
      <c r="U30" s="13"/>
      <c r="V30" s="11" t="n">
        <f aca="false">(M30/3.6)^2</f>
        <v>0.560002777777778</v>
      </c>
      <c r="AB30" s="11" t="n">
        <f aca="false">(J30-P_aux)/(L30/3.6)</f>
        <v>1.93114673588943</v>
      </c>
    </row>
    <row r="31" customFormat="false" ht="15" hidden="false" customHeight="false" outlineLevel="0" collapsed="false">
      <c r="A31" s="6" t="s">
        <v>272</v>
      </c>
      <c r="B31" s="6" t="s">
        <v>273</v>
      </c>
      <c r="C31" s="6" t="n">
        <v>0</v>
      </c>
      <c r="D31" s="6"/>
      <c r="E31" s="6" t="s">
        <v>269</v>
      </c>
      <c r="F31" s="6" t="n">
        <v>0</v>
      </c>
      <c r="G31" s="6" t="n">
        <v>2.7</v>
      </c>
      <c r="H31" s="6" t="s">
        <v>274</v>
      </c>
      <c r="I31" s="6" t="n">
        <v>133</v>
      </c>
      <c r="J31" s="10" t="n">
        <v>1.7095</v>
      </c>
      <c r="K31" s="10" t="n">
        <v>0.0576</v>
      </c>
      <c r="L31" s="10" t="n">
        <v>2.8505</v>
      </c>
      <c r="M31" s="10" t="n">
        <v>2.7</v>
      </c>
      <c r="N31" s="10"/>
      <c r="O31" s="10"/>
      <c r="P31" s="10"/>
      <c r="Q31" s="10" t="n">
        <v>0</v>
      </c>
      <c r="R31" s="11"/>
      <c r="S31" s="12"/>
      <c r="T31" s="11" t="n">
        <f aca="false">1-M31/L31</f>
        <v>0.052797754779863</v>
      </c>
      <c r="U31" s="13"/>
      <c r="V31" s="11" t="n">
        <f aca="false">(M31/3.6)^2</f>
        <v>0.5625</v>
      </c>
      <c r="AB31" s="11" t="n">
        <f aca="false">(J31-P_aux)/(L31/3.6)</f>
        <v>1.9316611120856</v>
      </c>
    </row>
    <row r="32" customFormat="false" ht="15" hidden="false" customHeight="false" outlineLevel="0" collapsed="false">
      <c r="A32" s="6" t="s">
        <v>272</v>
      </c>
      <c r="B32" s="6" t="s">
        <v>273</v>
      </c>
      <c r="C32" s="6" t="n">
        <v>0</v>
      </c>
      <c r="D32" s="6"/>
      <c r="E32" s="6" t="s">
        <v>269</v>
      </c>
      <c r="F32" s="6" t="n">
        <v>0</v>
      </c>
      <c r="G32" s="6" t="n">
        <v>2.7</v>
      </c>
      <c r="H32" s="6" t="s">
        <v>274</v>
      </c>
      <c r="I32" s="6" t="n">
        <v>133</v>
      </c>
      <c r="J32" s="10" t="n">
        <v>1.7086</v>
      </c>
      <c r="K32" s="10" t="n">
        <v>0.0581</v>
      </c>
      <c r="L32" s="10" t="n">
        <v>2.8504</v>
      </c>
      <c r="M32" s="10" t="n">
        <v>2.709</v>
      </c>
      <c r="N32" s="10"/>
      <c r="O32" s="10"/>
      <c r="P32" s="10"/>
      <c r="Q32" s="10" t="n">
        <v>0</v>
      </c>
      <c r="R32" s="11"/>
      <c r="S32" s="12"/>
      <c r="T32" s="11" t="n">
        <f aca="false">1-M32/L32</f>
        <v>0.0496070726915521</v>
      </c>
      <c r="U32" s="13"/>
      <c r="V32" s="11" t="n">
        <f aca="false">(M32/3.6)^2</f>
        <v>0.56625625</v>
      </c>
      <c r="AB32" s="11" t="n">
        <f aca="false">(J32-P_aux)/(L32/3.6)</f>
        <v>1.9305921975863</v>
      </c>
    </row>
    <row r="33" customFormat="false" ht="15" hidden="false" customHeight="false" outlineLevel="0" collapsed="false">
      <c r="A33" s="6" t="s">
        <v>272</v>
      </c>
      <c r="B33" s="6" t="s">
        <v>273</v>
      </c>
      <c r="C33" s="6" t="n">
        <v>0</v>
      </c>
      <c r="D33" s="6"/>
      <c r="E33" s="6" t="s">
        <v>269</v>
      </c>
      <c r="F33" s="6" t="n">
        <v>0</v>
      </c>
      <c r="G33" s="6" t="n">
        <v>2.7</v>
      </c>
      <c r="H33" s="6" t="s">
        <v>274</v>
      </c>
      <c r="I33" s="6" t="n">
        <v>133</v>
      </c>
      <c r="J33" s="10" t="n">
        <v>1.7092</v>
      </c>
      <c r="K33" s="10" t="n">
        <v>0.057</v>
      </c>
      <c r="L33" s="10" t="n">
        <v>2.8505</v>
      </c>
      <c r="M33" s="10" t="n">
        <v>2.701</v>
      </c>
      <c r="N33" s="10"/>
      <c r="O33" s="10"/>
      <c r="P33" s="10"/>
      <c r="Q33" s="10" t="n">
        <v>0</v>
      </c>
      <c r="R33" s="11"/>
      <c r="S33" s="12"/>
      <c r="T33" s="11" t="n">
        <f aca="false">1-M33/L33</f>
        <v>0.0524469391334853</v>
      </c>
      <c r="U33" s="13"/>
      <c r="V33" s="11" t="n">
        <f aca="false">(M33/3.6)^2</f>
        <v>0.562916743827161</v>
      </c>
      <c r="AB33" s="11" t="n">
        <f aca="false">(J33-P_aux)/(L33/3.6)</f>
        <v>1.93128223118751</v>
      </c>
    </row>
    <row r="34" customFormat="false" ht="15" hidden="false" customHeight="false" outlineLevel="0" collapsed="false">
      <c r="A34" s="6" t="s">
        <v>272</v>
      </c>
      <c r="B34" s="6" t="s">
        <v>275</v>
      </c>
      <c r="C34" s="6" t="n">
        <v>0</v>
      </c>
      <c r="D34" s="6"/>
      <c r="E34" s="6" t="s">
        <v>269</v>
      </c>
      <c r="F34" s="6" t="n">
        <v>0</v>
      </c>
      <c r="G34" s="6" t="n">
        <v>2.7</v>
      </c>
      <c r="H34" s="6" t="s">
        <v>274</v>
      </c>
      <c r="I34" s="6" t="n">
        <v>133</v>
      </c>
      <c r="J34" s="10" t="n">
        <v>1.7389</v>
      </c>
      <c r="K34" s="10" t="n">
        <v>0.038</v>
      </c>
      <c r="L34" s="10" t="n">
        <v>2.8508</v>
      </c>
      <c r="M34" s="10" t="n">
        <v>2.693</v>
      </c>
      <c r="N34" s="10"/>
      <c r="O34" s="10"/>
      <c r="P34" s="10"/>
      <c r="Q34" s="10" t="n">
        <v>0</v>
      </c>
      <c r="R34" s="11"/>
      <c r="S34" s="12"/>
      <c r="T34" s="11" t="n">
        <f aca="false">1-M34/L34</f>
        <v>0.0553528834011505</v>
      </c>
      <c r="U34" s="13"/>
      <c r="V34" s="11" t="n">
        <f aca="false">(M34/3.6)^2</f>
        <v>0.559587114197531</v>
      </c>
      <c r="AB34" s="11" t="n">
        <f aca="false">(J34-P_aux)/(L34/3.6)</f>
        <v>1.96858425705065</v>
      </c>
    </row>
    <row r="35" customFormat="false" ht="15" hidden="false" customHeight="false" outlineLevel="0" collapsed="false">
      <c r="A35" s="6" t="s">
        <v>272</v>
      </c>
      <c r="B35" s="6" t="s">
        <v>275</v>
      </c>
      <c r="C35" s="6" t="n">
        <v>0</v>
      </c>
      <c r="D35" s="6"/>
      <c r="E35" s="6" t="s">
        <v>269</v>
      </c>
      <c r="F35" s="6" t="n">
        <v>0</v>
      </c>
      <c r="G35" s="6" t="n">
        <v>2.7</v>
      </c>
      <c r="H35" s="6" t="s">
        <v>274</v>
      </c>
      <c r="I35" s="6" t="n">
        <v>133</v>
      </c>
      <c r="J35" s="10" t="n">
        <v>1.7414</v>
      </c>
      <c r="K35" s="10" t="n">
        <v>0.039</v>
      </c>
      <c r="L35" s="10" t="n">
        <v>2.8505</v>
      </c>
      <c r="M35" s="10" t="n">
        <v>2.711</v>
      </c>
      <c r="N35" s="10"/>
      <c r="O35" s="10"/>
      <c r="P35" s="10"/>
      <c r="Q35" s="10" t="n">
        <v>0</v>
      </c>
      <c r="R35" s="11"/>
      <c r="S35" s="12"/>
      <c r="T35" s="11" t="n">
        <f aca="false">1-M35/L35</f>
        <v>0.0489387826697071</v>
      </c>
      <c r="U35" s="13"/>
      <c r="V35" s="11" t="n">
        <f aca="false">(M35/3.6)^2</f>
        <v>0.567092669753086</v>
      </c>
      <c r="AB35" s="11" t="n">
        <f aca="false">(J35-P_aux)/(L35/3.6)</f>
        <v>1.97194878091563</v>
      </c>
    </row>
    <row r="36" customFormat="false" ht="15" hidden="false" customHeight="false" outlineLevel="0" collapsed="false">
      <c r="A36" s="6" t="s">
        <v>272</v>
      </c>
      <c r="B36" s="6" t="s">
        <v>275</v>
      </c>
      <c r="C36" s="6" t="n">
        <v>0</v>
      </c>
      <c r="D36" s="6"/>
      <c r="E36" s="6" t="s">
        <v>269</v>
      </c>
      <c r="F36" s="6" t="n">
        <v>0</v>
      </c>
      <c r="G36" s="6" t="n">
        <v>2.7</v>
      </c>
      <c r="H36" s="6" t="s">
        <v>274</v>
      </c>
      <c r="I36" s="6" t="n">
        <v>133</v>
      </c>
      <c r="J36" s="10" t="n">
        <v>1.7388</v>
      </c>
      <c r="K36" s="10" t="n">
        <v>0.039</v>
      </c>
      <c r="L36" s="10" t="n">
        <v>2.8508</v>
      </c>
      <c r="M36" s="10" t="n">
        <v>2.695</v>
      </c>
      <c r="N36" s="10"/>
      <c r="O36" s="10"/>
      <c r="P36" s="10"/>
      <c r="Q36" s="10" t="n">
        <v>0</v>
      </c>
      <c r="R36" s="11"/>
      <c r="S36" s="12"/>
      <c r="T36" s="11" t="n">
        <f aca="false">1-M36/L36</f>
        <v>0.0546513259435948</v>
      </c>
      <c r="U36" s="13"/>
      <c r="V36" s="11" t="n">
        <f aca="false">(M36/3.6)^2</f>
        <v>0.560418595679012</v>
      </c>
      <c r="AB36" s="11" t="n">
        <f aca="false">(J36-P_aux)/(L36/3.6)</f>
        <v>1.96845797670829</v>
      </c>
    </row>
    <row r="37" customFormat="false" ht="15" hidden="false" customHeight="false" outlineLevel="0" collapsed="false">
      <c r="A37" s="6" t="s">
        <v>272</v>
      </c>
      <c r="B37" s="6" t="s">
        <v>275</v>
      </c>
      <c r="C37" s="6" t="n">
        <v>0</v>
      </c>
      <c r="D37" s="6"/>
      <c r="E37" s="6" t="s">
        <v>269</v>
      </c>
      <c r="F37" s="6" t="n">
        <v>0</v>
      </c>
      <c r="G37" s="6" t="n">
        <v>2.7</v>
      </c>
      <c r="H37" s="6" t="s">
        <v>274</v>
      </c>
      <c r="I37" s="6" t="n">
        <v>133</v>
      </c>
      <c r="J37" s="10" t="n">
        <v>1.738</v>
      </c>
      <c r="K37" s="10" t="n">
        <v>0.039</v>
      </c>
      <c r="L37" s="10" t="n">
        <v>2.8506</v>
      </c>
      <c r="M37" s="10" t="n">
        <v>2.699</v>
      </c>
      <c r="N37" s="10"/>
      <c r="O37" s="10"/>
      <c r="P37" s="10"/>
      <c r="Q37" s="10" t="n">
        <v>0</v>
      </c>
      <c r="R37" s="11"/>
      <c r="S37" s="12"/>
      <c r="T37" s="11" t="n">
        <f aca="false">1-M37/L37</f>
        <v>0.0531817862906056</v>
      </c>
      <c r="U37" s="13"/>
      <c r="V37" s="11" t="n">
        <f aca="false">(M37/3.6)^2</f>
        <v>0.562083410493827</v>
      </c>
      <c r="AB37" s="11" t="n">
        <f aca="false">(J37-P_aux)/(L37/3.6)</f>
        <v>1.96758577141654</v>
      </c>
    </row>
    <row r="38" customFormat="false" ht="15" hidden="false" customHeight="false" outlineLevel="0" collapsed="false">
      <c r="A38" s="6" t="s">
        <v>272</v>
      </c>
      <c r="B38" s="6" t="s">
        <v>273</v>
      </c>
      <c r="C38" s="6" t="n">
        <v>1</v>
      </c>
      <c r="D38" s="6" t="n">
        <v>1</v>
      </c>
      <c r="E38" s="6" t="s">
        <v>271</v>
      </c>
      <c r="F38" s="6" t="n">
        <v>0.12</v>
      </c>
      <c r="G38" s="6" t="n">
        <v>2.7</v>
      </c>
      <c r="H38" s="6" t="s">
        <v>274</v>
      </c>
      <c r="I38" s="6" t="n">
        <v>134</v>
      </c>
      <c r="J38" s="10" t="n">
        <v>12.9278</v>
      </c>
      <c r="K38" s="10" t="n">
        <v>0.2612</v>
      </c>
      <c r="L38" s="10" t="n">
        <v>2.8413</v>
      </c>
      <c r="M38" s="10" t="n">
        <v>2.697</v>
      </c>
      <c r="N38" s="10" t="n">
        <v>0.1197</v>
      </c>
      <c r="O38" s="10" t="n">
        <v>0.005</v>
      </c>
      <c r="P38" s="10" t="n">
        <v>1.232</v>
      </c>
      <c r="Q38" s="10" t="n">
        <v>540</v>
      </c>
      <c r="R38" s="11" t="n">
        <f aca="false">IF(P38="","",0.1*P38*M38)</f>
        <v>0.3322704</v>
      </c>
      <c r="S38" s="12" t="n">
        <f aca="false">IF(R38="","",J38/R38)</f>
        <v>38.9074681343869</v>
      </c>
      <c r="T38" s="11" t="n">
        <f aca="false">1-M38/L38</f>
        <v>0.0507866117622214</v>
      </c>
      <c r="U38" s="13" t="n">
        <f aca="false">IF(R38="","",3.6*J38/(P38*N38*M38))</f>
        <v>117.014941757555</v>
      </c>
      <c r="V38" s="11" t="n">
        <f aca="false">(M38/3.6)^2</f>
        <v>0.561250694444444</v>
      </c>
      <c r="AA38" s="13" t="n">
        <f aca="false">(J38-P_aux-c_move*L38/3.6-P_rot0)/(P38*N38*M38/3.6)</f>
        <v>92.5728349229047</v>
      </c>
    </row>
    <row r="39" customFormat="false" ht="15" hidden="false" customHeight="false" outlineLevel="0" collapsed="false">
      <c r="A39" s="6" t="s">
        <v>272</v>
      </c>
      <c r="B39" s="6" t="s">
        <v>273</v>
      </c>
      <c r="C39" s="6" t="n">
        <v>2</v>
      </c>
      <c r="D39" s="6" t="n">
        <v>1</v>
      </c>
      <c r="E39" s="6" t="s">
        <v>271</v>
      </c>
      <c r="F39" s="6" t="n">
        <v>0.08</v>
      </c>
      <c r="G39" s="6" t="n">
        <v>2.7</v>
      </c>
      <c r="H39" s="6" t="s">
        <v>274</v>
      </c>
      <c r="I39" s="6" t="n">
        <v>134</v>
      </c>
      <c r="J39" s="10" t="n">
        <v>10.0222</v>
      </c>
      <c r="K39" s="10" t="n">
        <v>0.2657</v>
      </c>
      <c r="L39" s="10" t="n">
        <v>2.8411</v>
      </c>
      <c r="M39" s="10" t="n">
        <v>2.689</v>
      </c>
      <c r="N39" s="10" t="n">
        <v>0.0833</v>
      </c>
      <c r="O39" s="10" t="n">
        <v>0.0041</v>
      </c>
      <c r="P39" s="10" t="n">
        <v>1.255</v>
      </c>
      <c r="Q39" s="10" t="n">
        <v>539.97</v>
      </c>
      <c r="R39" s="11" t="n">
        <f aca="false">IF(P39="","",0.1*P39*M39)</f>
        <v>0.3374695</v>
      </c>
      <c r="S39" s="12" t="n">
        <f aca="false">IF(R39="","",J39/R39)</f>
        <v>29.6980912349116</v>
      </c>
      <c r="T39" s="11" t="n">
        <f aca="false">1-M39/L39</f>
        <v>0.0535356024075182</v>
      </c>
      <c r="U39" s="13" t="n">
        <f aca="false">IF(R39="","",3.6*J39/(P39*N39*M39))</f>
        <v>128.347092972007</v>
      </c>
      <c r="V39" s="11" t="n">
        <f aca="false">(M39/3.6)^2</f>
        <v>0.55792600308642</v>
      </c>
      <c r="AA39" s="13" t="n">
        <f aca="false">(J39-P_aux-c_move*L39/3.6-P_rot0)/(P39*N39*M39/3.6)</f>
        <v>93.7668939510448</v>
      </c>
    </row>
    <row r="40" customFormat="false" ht="15" hidden="false" customHeight="false" outlineLevel="0" collapsed="false">
      <c r="A40" s="6" t="s">
        <v>272</v>
      </c>
      <c r="B40" s="6" t="s">
        <v>273</v>
      </c>
      <c r="C40" s="6" t="n">
        <v>3</v>
      </c>
      <c r="D40" s="6" t="n">
        <v>1</v>
      </c>
      <c r="E40" s="6" t="s">
        <v>271</v>
      </c>
      <c r="F40" s="6" t="n">
        <v>0.16</v>
      </c>
      <c r="G40" s="6" t="n">
        <v>1.8</v>
      </c>
      <c r="H40" s="6" t="s">
        <v>276</v>
      </c>
      <c r="I40" s="6" t="n">
        <v>200</v>
      </c>
      <c r="J40" s="10" t="n">
        <v>12.6134</v>
      </c>
      <c r="K40" s="10" t="n">
        <v>0.2903</v>
      </c>
      <c r="L40" s="10" t="n">
        <v>1.8939</v>
      </c>
      <c r="M40" s="10" t="n">
        <v>1.797</v>
      </c>
      <c r="N40" s="10" t="n">
        <v>0.1603</v>
      </c>
      <c r="O40" s="10" t="n">
        <v>0.0047</v>
      </c>
      <c r="P40" s="10" t="n">
        <v>1.245</v>
      </c>
      <c r="Q40" s="10" t="n">
        <v>539.93</v>
      </c>
      <c r="R40" s="11" t="n">
        <f aca="false">IF(P40="","",0.1*P40*M40)</f>
        <v>0.2237265</v>
      </c>
      <c r="S40" s="12" t="n">
        <f aca="false">IF(R40="","",J40/R40)</f>
        <v>56.3786587641607</v>
      </c>
      <c r="T40" s="11" t="n">
        <f aca="false">1-M40/L40</f>
        <v>0.0511642642166957</v>
      </c>
      <c r="U40" s="13" t="n">
        <f aca="false">IF(R40="","",3.6*J40/(P40*N40*M40))</f>
        <v>126.614579882083</v>
      </c>
      <c r="V40" s="11" t="n">
        <f aca="false">(M40/3.6)^2</f>
        <v>0.249167361111111</v>
      </c>
      <c r="AA40" s="13" t="n">
        <f aca="false">(J40-P_aux-c_move*L40/3.6-P_rot0)/(P40*N40*M40/3.6)</f>
        <v>104.659795061413</v>
      </c>
    </row>
    <row r="41" customFormat="false" ht="15" hidden="false" customHeight="false" outlineLevel="0" collapsed="false">
      <c r="A41" s="6" t="s">
        <v>272</v>
      </c>
      <c r="B41" s="6" t="s">
        <v>273</v>
      </c>
      <c r="C41" s="6" t="n">
        <v>4</v>
      </c>
      <c r="D41" s="6" t="n">
        <v>1</v>
      </c>
      <c r="E41" s="6" t="s">
        <v>271</v>
      </c>
      <c r="F41" s="6" t="n">
        <v>0.08</v>
      </c>
      <c r="G41" s="6" t="n">
        <v>3.6</v>
      </c>
      <c r="H41" s="6" t="s">
        <v>277</v>
      </c>
      <c r="I41" s="6" t="n">
        <v>100</v>
      </c>
      <c r="J41" s="10" t="n">
        <v>11.8202</v>
      </c>
      <c r="K41" s="10" t="n">
        <v>0.2779</v>
      </c>
      <c r="L41" s="10" t="n">
        <v>3.7896</v>
      </c>
      <c r="M41" s="10" t="n">
        <v>3.577</v>
      </c>
      <c r="N41" s="10" t="n">
        <v>0.0821</v>
      </c>
      <c r="O41" s="10" t="n">
        <v>0.0047</v>
      </c>
      <c r="P41" s="10" t="n">
        <v>1.253</v>
      </c>
      <c r="Q41" s="10" t="n">
        <v>539.99</v>
      </c>
      <c r="R41" s="11" t="n">
        <f aca="false">IF(P41="","",0.1*P41*M41)</f>
        <v>0.4481981</v>
      </c>
      <c r="S41" s="12" t="n">
        <f aca="false">IF(R41="","",J41/R41)</f>
        <v>26.3727133158307</v>
      </c>
      <c r="T41" s="11" t="n">
        <f aca="false">1-M41/L41</f>
        <v>0.0561009077475195</v>
      </c>
      <c r="U41" s="13" t="n">
        <f aca="false">IF(R41="","",3.6*J41/(P41*N41*M41))</f>
        <v>115.641617462838</v>
      </c>
      <c r="V41" s="11" t="n">
        <f aca="false">(M41/3.6)^2</f>
        <v>0.987263040123457</v>
      </c>
      <c r="AA41" s="13" t="n">
        <f aca="false">(J41-P_aux-c_move*L41/3.6-P_rot0)/(P41*N41*M41/3.6)</f>
        <v>84.197161962468</v>
      </c>
    </row>
    <row r="42" customFormat="false" ht="15" hidden="false" customHeight="false" outlineLevel="0" collapsed="false">
      <c r="A42" s="6" t="s">
        <v>272</v>
      </c>
      <c r="B42" s="6" t="s">
        <v>273</v>
      </c>
      <c r="C42" s="6" t="n">
        <v>5</v>
      </c>
      <c r="D42" s="6" t="n">
        <v>1</v>
      </c>
      <c r="E42" s="6" t="s">
        <v>271</v>
      </c>
      <c r="F42" s="6" t="n">
        <v>0.12</v>
      </c>
      <c r="G42" s="6" t="n">
        <v>1.8</v>
      </c>
      <c r="H42" s="6" t="s">
        <v>276</v>
      </c>
      <c r="I42" s="6" t="n">
        <v>201</v>
      </c>
      <c r="J42" s="10" t="n">
        <v>9.9765</v>
      </c>
      <c r="K42" s="10" t="n">
        <v>0.2525</v>
      </c>
      <c r="L42" s="10" t="n">
        <v>1.895</v>
      </c>
      <c r="M42" s="10" t="n">
        <v>1.791</v>
      </c>
      <c r="N42" s="10" t="n">
        <v>0.119</v>
      </c>
      <c r="O42" s="10" t="n">
        <v>0.0036</v>
      </c>
      <c r="P42" s="10" t="n">
        <v>1.247</v>
      </c>
      <c r="Q42" s="10" t="n">
        <v>539.97</v>
      </c>
      <c r="R42" s="11" t="n">
        <f aca="false">IF(P42="","",0.1*P42*M42)</f>
        <v>0.2233377</v>
      </c>
      <c r="S42" s="12" t="n">
        <f aca="false">IF(R42="","",J42/R42)</f>
        <v>44.670022123448</v>
      </c>
      <c r="T42" s="11" t="n">
        <f aca="false">1-M42/L42</f>
        <v>0.0548812664907652</v>
      </c>
      <c r="U42" s="13" t="n">
        <f aca="false">IF(R42="","",3.6*J42/(P42*N42*M42))</f>
        <v>135.13620138186</v>
      </c>
      <c r="V42" s="11" t="n">
        <f aca="false">(M42/3.6)^2</f>
        <v>0.24750625</v>
      </c>
      <c r="AA42" s="13" t="n">
        <f aca="false">(J42-P_aux-c_move*L42/3.6-P_rot0)/(P42*N42*M42/3.6)</f>
        <v>105.502258376726</v>
      </c>
    </row>
    <row r="43" customFormat="false" ht="15" hidden="false" customHeight="false" outlineLevel="0" collapsed="false">
      <c r="A43" s="6" t="s">
        <v>272</v>
      </c>
      <c r="B43" s="6" t="s">
        <v>273</v>
      </c>
      <c r="C43" s="6" t="n">
        <v>6</v>
      </c>
      <c r="D43" s="6" t="n">
        <v>1</v>
      </c>
      <c r="E43" s="6" t="s">
        <v>271</v>
      </c>
      <c r="F43" s="6" t="n">
        <v>0.08</v>
      </c>
      <c r="G43" s="6" t="n">
        <v>1.8</v>
      </c>
      <c r="H43" s="6" t="s">
        <v>276</v>
      </c>
      <c r="I43" s="6" t="n">
        <v>201</v>
      </c>
      <c r="J43" s="10" t="n">
        <v>7.1492</v>
      </c>
      <c r="K43" s="10" t="n">
        <v>0.1728</v>
      </c>
      <c r="L43" s="10" t="n">
        <v>1.8945</v>
      </c>
      <c r="M43" s="10" t="n">
        <v>1.788</v>
      </c>
      <c r="N43" s="10" t="n">
        <v>0.0768</v>
      </c>
      <c r="O43" s="10" t="n">
        <v>0.0035</v>
      </c>
      <c r="P43" s="10" t="n">
        <v>1.266</v>
      </c>
      <c r="Q43" s="10" t="n">
        <v>539.98</v>
      </c>
      <c r="R43" s="11" t="n">
        <f aca="false">IF(P43="","",0.1*P43*M43)</f>
        <v>0.2263608</v>
      </c>
      <c r="S43" s="12" t="n">
        <f aca="false">IF(R43="","",J43/R43)</f>
        <v>31.5832069863687</v>
      </c>
      <c r="T43" s="11" t="n">
        <f aca="false">1-M43/L43</f>
        <v>0.056215360253365</v>
      </c>
      <c r="U43" s="13" t="n">
        <f aca="false">IF(R43="","",3.6*J43/(P43*N43*M43))</f>
        <v>148.046282748603</v>
      </c>
      <c r="V43" s="11" t="n">
        <f aca="false">(M43/3.6)^2</f>
        <v>0.246677777777778</v>
      </c>
      <c r="AA43" s="13" t="n">
        <f aca="false">(J43-P_aux-c_move*L43/3.6-P_rot0)/(P43*N43*M43/3.6)</f>
        <v>102.747948682878</v>
      </c>
    </row>
    <row r="44" customFormat="false" ht="15" hidden="false" customHeight="false" outlineLevel="0" collapsed="false">
      <c r="A44" s="6" t="s">
        <v>272</v>
      </c>
      <c r="B44" s="6" t="s">
        <v>273</v>
      </c>
      <c r="C44" s="6" t="n">
        <v>7</v>
      </c>
      <c r="D44" s="6" t="n">
        <v>1</v>
      </c>
      <c r="E44" s="6" t="s">
        <v>271</v>
      </c>
      <c r="F44" s="6" t="n">
        <v>0.12</v>
      </c>
      <c r="G44" s="6" t="n">
        <v>3.6</v>
      </c>
      <c r="H44" s="6" t="s">
        <v>277</v>
      </c>
      <c r="I44" s="6" t="n">
        <v>100</v>
      </c>
      <c r="J44" s="10" t="n">
        <v>16.6278</v>
      </c>
      <c r="K44" s="10" t="n">
        <v>0.6554</v>
      </c>
      <c r="L44" s="10" t="n">
        <v>3.7552</v>
      </c>
      <c r="M44" s="10" t="n">
        <v>3.578</v>
      </c>
      <c r="N44" s="10" t="n">
        <v>0.122</v>
      </c>
      <c r="O44" s="10" t="n">
        <v>0.0045</v>
      </c>
      <c r="P44" s="10" t="n">
        <v>1.251</v>
      </c>
      <c r="Q44" s="10" t="n">
        <v>535.1</v>
      </c>
      <c r="R44" s="11" t="n">
        <f aca="false">IF(P44="","",0.1*P44*M44)</f>
        <v>0.4476078</v>
      </c>
      <c r="S44" s="12" t="n">
        <f aca="false">IF(R44="","",J44/R44)</f>
        <v>37.1481462119293</v>
      </c>
      <c r="T44" s="11" t="n">
        <f aca="false">1-M44/L44</f>
        <v>0.0471878994461015</v>
      </c>
      <c r="U44" s="13" t="n">
        <f aca="false">IF(R44="","",3.6*J44/(P44*N44*M44))</f>
        <v>109.617480625365</v>
      </c>
      <c r="V44" s="11" t="n">
        <f aca="false">(M44/3.6)^2</f>
        <v>0.98781512345679</v>
      </c>
      <c r="AA44" s="13" t="n">
        <f aca="false">(J44-P_aux-c_move*L44/3.6-P_rot0)/(P44*N44*M44/3.6)</f>
        <v>88.5518509216542</v>
      </c>
    </row>
    <row r="45" customFormat="false" ht="15" hidden="false" customHeight="false" outlineLevel="0" collapsed="false">
      <c r="A45" s="6" t="s">
        <v>272</v>
      </c>
      <c r="B45" s="6" t="s">
        <v>273</v>
      </c>
      <c r="C45" s="6" t="n">
        <v>8</v>
      </c>
      <c r="D45" s="6" t="n">
        <v>1</v>
      </c>
      <c r="E45" s="6" t="s">
        <v>271</v>
      </c>
      <c r="F45" s="6" t="n">
        <v>0.16</v>
      </c>
      <c r="G45" s="6" t="n">
        <v>2.7</v>
      </c>
      <c r="H45" s="6" t="s">
        <v>274</v>
      </c>
      <c r="I45" s="6" t="n">
        <v>134</v>
      </c>
      <c r="J45" s="10" t="n">
        <v>16.2409</v>
      </c>
      <c r="K45" s="10" t="n">
        <v>0.5248</v>
      </c>
      <c r="L45" s="10" t="n">
        <v>2.8221</v>
      </c>
      <c r="M45" s="10" t="n">
        <v>2.681</v>
      </c>
      <c r="N45" s="10" t="n">
        <v>0.1581</v>
      </c>
      <c r="O45" s="10" t="n">
        <v>0.0022</v>
      </c>
      <c r="P45" s="10" t="n">
        <v>1.24</v>
      </c>
      <c r="Q45" s="10" t="n">
        <v>536.27</v>
      </c>
      <c r="R45" s="11" t="n">
        <f aca="false">IF(P45="","",0.1*P45*M45)</f>
        <v>0.332444</v>
      </c>
      <c r="S45" s="12" t="n">
        <f aca="false">IF(R45="","",J45/R45)</f>
        <v>48.8530399104812</v>
      </c>
      <c r="T45" s="11" t="n">
        <f aca="false">1-M45/L45</f>
        <v>0.0499982282697281</v>
      </c>
      <c r="U45" s="13" t="n">
        <f aca="false">IF(R45="","",3.6*J45/(P45*N45*M45))</f>
        <v>111.240318581741</v>
      </c>
      <c r="V45" s="11" t="n">
        <f aca="false">(M45/3.6)^2</f>
        <v>0.554611188271605</v>
      </c>
      <c r="AA45" s="13" t="n">
        <f aca="false">(J45-P_aux-c_move*L45/3.6-P_rot0)/(P45*N45*M45/3.6)</f>
        <v>92.8157174381952</v>
      </c>
    </row>
    <row r="46" customFormat="false" ht="15" hidden="false" customHeight="false" outlineLevel="0" collapsed="false">
      <c r="A46" s="6" t="s">
        <v>272</v>
      </c>
      <c r="B46" s="6" t="s">
        <v>273</v>
      </c>
      <c r="C46" s="6" t="n">
        <v>9</v>
      </c>
      <c r="D46" s="6" t="n">
        <v>2</v>
      </c>
      <c r="E46" s="6" t="s">
        <v>271</v>
      </c>
      <c r="F46" s="6" t="n">
        <v>0.12</v>
      </c>
      <c r="G46" s="6" t="n">
        <v>1.8</v>
      </c>
      <c r="H46" s="6" t="s">
        <v>276</v>
      </c>
      <c r="I46" s="6" t="n">
        <v>201</v>
      </c>
      <c r="J46" s="10" t="n">
        <v>9.9434</v>
      </c>
      <c r="K46" s="10" t="n">
        <v>0.2385</v>
      </c>
      <c r="L46" s="10" t="n">
        <v>1.8943</v>
      </c>
      <c r="M46" s="10" t="n">
        <v>1.787</v>
      </c>
      <c r="N46" s="10" t="n">
        <v>0.1186</v>
      </c>
      <c r="O46" s="10" t="n">
        <v>0.0043</v>
      </c>
      <c r="P46" s="10" t="n">
        <v>1.249</v>
      </c>
      <c r="Q46" s="10" t="n">
        <v>540</v>
      </c>
      <c r="R46" s="11" t="n">
        <f aca="false">IF(P46="","",0.1*P46*M46)</f>
        <v>0.2231963</v>
      </c>
      <c r="S46" s="12" t="n">
        <f aca="false">IF(R46="","",J46/R46)</f>
        <v>44.5500216625455</v>
      </c>
      <c r="T46" s="11" t="n">
        <f aca="false">1-M46/L46</f>
        <v>0.0566436150556935</v>
      </c>
      <c r="U46" s="13" t="n">
        <f aca="false">IF(R46="","",3.6*J46/(P46*N46*M46))</f>
        <v>135.227721741285</v>
      </c>
      <c r="V46" s="11" t="n">
        <f aca="false">(M46/3.6)^2</f>
        <v>0.246401929012346</v>
      </c>
      <c r="AA46" s="13" t="n">
        <f aca="false">(J46-P_aux-c_move*L46/3.6-P_rot0)/(P46*N46*M46/3.6)</f>
        <v>105.480152774243</v>
      </c>
    </row>
    <row r="47" customFormat="false" ht="15" hidden="false" customHeight="false" outlineLevel="0" collapsed="false">
      <c r="A47" s="6" t="s">
        <v>272</v>
      </c>
      <c r="B47" s="6" t="s">
        <v>273</v>
      </c>
      <c r="C47" s="6" t="n">
        <v>10</v>
      </c>
      <c r="D47" s="6" t="n">
        <v>2</v>
      </c>
      <c r="E47" s="6" t="s">
        <v>271</v>
      </c>
      <c r="F47" s="6" t="n">
        <v>0.08</v>
      </c>
      <c r="G47" s="6" t="n">
        <v>3.6</v>
      </c>
      <c r="H47" s="6" t="s">
        <v>277</v>
      </c>
      <c r="I47" s="6" t="n">
        <v>100</v>
      </c>
      <c r="J47" s="10" t="n">
        <v>12.2048</v>
      </c>
      <c r="K47" s="10" t="n">
        <v>0.3449</v>
      </c>
      <c r="L47" s="10" t="n">
        <v>3.7902</v>
      </c>
      <c r="M47" s="10" t="n">
        <v>3.593</v>
      </c>
      <c r="N47" s="10" t="n">
        <v>0.0825</v>
      </c>
      <c r="O47" s="10" t="n">
        <v>0.0045</v>
      </c>
      <c r="P47" s="10" t="n">
        <v>1.246</v>
      </c>
      <c r="Q47" s="10" t="n">
        <v>540.05</v>
      </c>
      <c r="R47" s="11" t="n">
        <f aca="false">IF(P47="","",0.1*P47*M47)</f>
        <v>0.4476878</v>
      </c>
      <c r="S47" s="12" t="n">
        <f aca="false">IF(R47="","",J47/R47)</f>
        <v>27.2618552482333</v>
      </c>
      <c r="T47" s="11" t="n">
        <f aca="false">1-M47/L47</f>
        <v>0.0520289166798585</v>
      </c>
      <c r="U47" s="13" t="n">
        <f aca="false">IF(R47="","",3.6*J47/(P47*N47*M47))</f>
        <v>118.960822901381</v>
      </c>
      <c r="V47" s="11" t="n">
        <f aca="false">(M47/3.6)^2</f>
        <v>0.996114891975308</v>
      </c>
      <c r="AA47" s="13" t="n">
        <f aca="false">(J47-P_aux-c_move*L47/3.6-P_rot0)/(P47*N47*M47/3.6)</f>
        <v>87.6299889220772</v>
      </c>
    </row>
    <row r="48" customFormat="false" ht="15" hidden="false" customHeight="false" outlineLevel="0" collapsed="false">
      <c r="A48" s="6" t="s">
        <v>272</v>
      </c>
      <c r="B48" s="6" t="s">
        <v>273</v>
      </c>
      <c r="C48" s="6" t="n">
        <v>11</v>
      </c>
      <c r="D48" s="6" t="n">
        <v>2</v>
      </c>
      <c r="E48" s="6" t="s">
        <v>271</v>
      </c>
      <c r="F48" s="6" t="n">
        <v>0.08</v>
      </c>
      <c r="G48" s="6" t="n">
        <v>1.8</v>
      </c>
      <c r="H48" s="6" t="s">
        <v>276</v>
      </c>
      <c r="I48" s="6" t="n">
        <v>201</v>
      </c>
      <c r="J48" s="10" t="n">
        <v>7.3719</v>
      </c>
      <c r="K48" s="10" t="n">
        <v>0.2891</v>
      </c>
      <c r="L48" s="10" t="n">
        <v>1.8948</v>
      </c>
      <c r="M48" s="10" t="n">
        <v>1.789</v>
      </c>
      <c r="N48" s="10" t="n">
        <v>0.0785</v>
      </c>
      <c r="O48" s="10" t="n">
        <v>0.0041</v>
      </c>
      <c r="P48" s="10" t="n">
        <v>1.218</v>
      </c>
      <c r="Q48" s="10" t="n">
        <v>540.06</v>
      </c>
      <c r="R48" s="11" t="n">
        <f aca="false">IF(P48="","",0.1*P48*M48)</f>
        <v>0.2179002</v>
      </c>
      <c r="S48" s="12" t="n">
        <f aca="false">IF(R48="","",J48/R48)</f>
        <v>33.8315430642101</v>
      </c>
      <c r="T48" s="11" t="n">
        <f aca="false">1-M48/L48</f>
        <v>0.0558370276546338</v>
      </c>
      <c r="U48" s="13" t="n">
        <f aca="false">IF(R48="","",3.6*J48/(P48*N48*M48))</f>
        <v>155.151025517397</v>
      </c>
      <c r="V48" s="11" t="n">
        <f aca="false">(M48/3.6)^2</f>
        <v>0.246953780864198</v>
      </c>
      <c r="AA48" s="13" t="n">
        <f aca="false">(J48-P_aux-c_move*L48/3.6-P_rot0)/(P48*N48*M48/3.6)</f>
        <v>109.109505972025</v>
      </c>
    </row>
    <row r="49" customFormat="false" ht="15" hidden="false" customHeight="false" outlineLevel="0" collapsed="false">
      <c r="A49" s="6" t="s">
        <v>272</v>
      </c>
      <c r="B49" s="6" t="s">
        <v>273</v>
      </c>
      <c r="C49" s="6" t="n">
        <v>12</v>
      </c>
      <c r="D49" s="6" t="n">
        <v>2</v>
      </c>
      <c r="E49" s="6" t="s">
        <v>271</v>
      </c>
      <c r="F49" s="6" t="n">
        <v>0.16</v>
      </c>
      <c r="G49" s="6" t="n">
        <v>2.7</v>
      </c>
      <c r="H49" s="6" t="s">
        <v>274</v>
      </c>
      <c r="I49" s="6" t="n">
        <v>133</v>
      </c>
      <c r="J49" s="10" t="n">
        <v>16.3447</v>
      </c>
      <c r="K49" s="10" t="n">
        <v>0.5072</v>
      </c>
      <c r="L49" s="10" t="n">
        <v>2.832</v>
      </c>
      <c r="M49" s="10" t="n">
        <v>2.689</v>
      </c>
      <c r="N49" s="10" t="n">
        <v>0.159</v>
      </c>
      <c r="O49" s="10" t="n">
        <v>0.0047</v>
      </c>
      <c r="P49" s="10" t="n">
        <v>1.264</v>
      </c>
      <c r="Q49" s="10" t="n">
        <v>538.23</v>
      </c>
      <c r="R49" s="11" t="n">
        <f aca="false">IF(P49="","",0.1*P49*M49)</f>
        <v>0.3398896</v>
      </c>
      <c r="S49" s="12" t="n">
        <f aca="false">IF(R49="","",J49/R49)</f>
        <v>48.0882616002373</v>
      </c>
      <c r="T49" s="11" t="n">
        <f aca="false">1-M49/L49</f>
        <v>0.0504943502824858</v>
      </c>
      <c r="U49" s="13" t="n">
        <f aca="false">IF(R49="","",3.6*J49/(P49*N49*M49))</f>
        <v>108.879082868462</v>
      </c>
      <c r="V49" s="11" t="n">
        <f aca="false">(M49/3.6)^2</f>
        <v>0.55792600308642</v>
      </c>
      <c r="AA49" s="13" t="n">
        <f aca="false">(J49-P_aux-c_move*L49/3.6-P_rot0)/(P49*N49*M49/3.6)</f>
        <v>90.9243706845859</v>
      </c>
    </row>
    <row r="50" customFormat="false" ht="15" hidden="false" customHeight="false" outlineLevel="0" collapsed="false">
      <c r="A50" s="6" t="s">
        <v>272</v>
      </c>
      <c r="B50" s="6" t="s">
        <v>273</v>
      </c>
      <c r="C50" s="6" t="n">
        <v>13</v>
      </c>
      <c r="D50" s="6" t="n">
        <v>2</v>
      </c>
      <c r="E50" s="6" t="s">
        <v>271</v>
      </c>
      <c r="F50" s="6" t="n">
        <v>0.16</v>
      </c>
      <c r="G50" s="6" t="n">
        <v>1.8</v>
      </c>
      <c r="H50" s="6" t="s">
        <v>276</v>
      </c>
      <c r="I50" s="6" t="n">
        <v>200</v>
      </c>
      <c r="J50" s="10" t="n">
        <v>12.4602</v>
      </c>
      <c r="K50" s="10" t="n">
        <v>0.3006</v>
      </c>
      <c r="L50" s="10" t="n">
        <v>1.8941</v>
      </c>
      <c r="M50" s="10" t="n">
        <v>1.794</v>
      </c>
      <c r="N50" s="10" t="n">
        <v>0.1606</v>
      </c>
      <c r="O50" s="10" t="n">
        <v>0.0054</v>
      </c>
      <c r="P50" s="10" t="n">
        <v>1.252</v>
      </c>
      <c r="Q50" s="10" t="n">
        <v>539.95</v>
      </c>
      <c r="R50" s="11" t="n">
        <f aca="false">IF(P50="","",0.1*P50*M50)</f>
        <v>0.2246088</v>
      </c>
      <c r="S50" s="12" t="n">
        <f aca="false">IF(R50="","",J50/R50)</f>
        <v>55.47511940761</v>
      </c>
      <c r="T50" s="11" t="n">
        <f aca="false">1-M50/L50</f>
        <v>0.0528483184625943</v>
      </c>
      <c r="U50" s="13" t="n">
        <f aca="false">IF(R50="","",3.6*J50/(P50*N50*M50))</f>
        <v>124.352696056909</v>
      </c>
      <c r="V50" s="11" t="n">
        <f aca="false">(M50/3.6)^2</f>
        <v>0.248336111111111</v>
      </c>
      <c r="AA50" s="13" t="n">
        <f aca="false">(J50-P_aux-c_move*L50/3.6-P_rot0)/(P50*N50*M50/3.6)</f>
        <v>102.523922287874</v>
      </c>
    </row>
    <row r="51" customFormat="false" ht="15" hidden="false" customHeight="false" outlineLevel="0" collapsed="false">
      <c r="A51" s="6" t="s">
        <v>272</v>
      </c>
      <c r="B51" s="6" t="s">
        <v>273</v>
      </c>
      <c r="C51" s="6" t="n">
        <v>14</v>
      </c>
      <c r="D51" s="6" t="n">
        <v>2</v>
      </c>
      <c r="E51" s="6" t="s">
        <v>271</v>
      </c>
      <c r="F51" s="6" t="n">
        <v>0.12</v>
      </c>
      <c r="G51" s="6" t="n">
        <v>3.6</v>
      </c>
      <c r="H51" s="6" t="s">
        <v>277</v>
      </c>
      <c r="I51" s="6" t="n">
        <v>100</v>
      </c>
      <c r="J51" s="10" t="n">
        <v>16.533</v>
      </c>
      <c r="K51" s="10" t="n">
        <v>0.3406</v>
      </c>
      <c r="L51" s="10" t="n">
        <v>3.7885</v>
      </c>
      <c r="M51" s="10" t="n">
        <v>3.614</v>
      </c>
      <c r="N51" s="10" t="n">
        <v>0.1201</v>
      </c>
      <c r="O51" s="10" t="n">
        <v>0.0047</v>
      </c>
      <c r="P51" s="10" t="n">
        <v>1.269</v>
      </c>
      <c r="Q51" s="10" t="n">
        <v>539.86</v>
      </c>
      <c r="R51" s="11" t="n">
        <f aca="false">IF(P51="","",0.1*P51*M51)</f>
        <v>0.4586166</v>
      </c>
      <c r="S51" s="12" t="n">
        <f aca="false">IF(R51="","",J51/R51)</f>
        <v>36.0497199621645</v>
      </c>
      <c r="T51" s="11" t="n">
        <f aca="false">1-M51/L51</f>
        <v>0.0460604460868418</v>
      </c>
      <c r="U51" s="13" t="n">
        <f aca="false">IF(R51="","",3.6*J51/(P51*N51*M51))</f>
        <v>108.059110627637</v>
      </c>
      <c r="V51" s="11" t="n">
        <f aca="false">(M51/3.6)^2</f>
        <v>1.00779290123457</v>
      </c>
      <c r="AA51" s="13" t="n">
        <f aca="false">(J51-P_aux-c_move*L51/3.6-P_rot0)/(P51*N51*M51/3.6)</f>
        <v>87.0559843006196</v>
      </c>
    </row>
    <row r="52" customFormat="false" ht="15" hidden="false" customHeight="false" outlineLevel="0" collapsed="false">
      <c r="A52" s="6" t="s">
        <v>272</v>
      </c>
      <c r="B52" s="6" t="s">
        <v>273</v>
      </c>
      <c r="C52" s="6" t="n">
        <v>15</v>
      </c>
      <c r="D52" s="6" t="n">
        <v>2</v>
      </c>
      <c r="E52" s="6" t="s">
        <v>271</v>
      </c>
      <c r="F52" s="6" t="n">
        <v>0.08</v>
      </c>
      <c r="G52" s="6" t="n">
        <v>2.7</v>
      </c>
      <c r="H52" s="6" t="s">
        <v>274</v>
      </c>
      <c r="I52" s="6" t="n">
        <v>134</v>
      </c>
      <c r="J52" s="10" t="n">
        <v>9.6457</v>
      </c>
      <c r="K52" s="10" t="n">
        <v>0.3054</v>
      </c>
      <c r="L52" s="10" t="n">
        <v>2.8413</v>
      </c>
      <c r="M52" s="10" t="n">
        <v>2.697</v>
      </c>
      <c r="N52" s="10" t="n">
        <v>0.0776</v>
      </c>
      <c r="O52" s="10" t="n">
        <v>0.0047</v>
      </c>
      <c r="P52" s="10" t="n">
        <v>1.242</v>
      </c>
      <c r="Q52" s="10" t="n">
        <v>539.97</v>
      </c>
      <c r="R52" s="11" t="n">
        <f aca="false">IF(P52="","",0.1*P52*M52)</f>
        <v>0.3349674</v>
      </c>
      <c r="S52" s="12" t="n">
        <f aca="false">IF(R52="","",J52/R52)</f>
        <v>28.7959365597966</v>
      </c>
      <c r="T52" s="11" t="n">
        <f aca="false">1-M52/L52</f>
        <v>0.0507866117622214</v>
      </c>
      <c r="U52" s="13" t="n">
        <f aca="false">IF(R52="","",3.6*J52/(P52*N52*M52))</f>
        <v>133.589396411427</v>
      </c>
      <c r="V52" s="11" t="n">
        <f aca="false">(M52/3.6)^2</f>
        <v>0.561250694444444</v>
      </c>
      <c r="AA52" s="13" t="n">
        <f aca="false">(J52-P_aux-c_move*L52/3.6-P_rot0)/(P52*N52*M52/3.6)</f>
        <v>96.1903801117634</v>
      </c>
    </row>
    <row r="53" customFormat="false" ht="15" hidden="false" customHeight="false" outlineLevel="0" collapsed="false">
      <c r="A53" s="6" t="s">
        <v>272</v>
      </c>
      <c r="B53" s="6" t="s">
        <v>273</v>
      </c>
      <c r="C53" s="6" t="n">
        <v>16</v>
      </c>
      <c r="D53" s="6" t="n">
        <v>2</v>
      </c>
      <c r="E53" s="6" t="s">
        <v>271</v>
      </c>
      <c r="F53" s="6" t="n">
        <v>0.12</v>
      </c>
      <c r="G53" s="6" t="n">
        <v>2.7</v>
      </c>
      <c r="H53" s="6" t="s">
        <v>274</v>
      </c>
      <c r="I53" s="6" t="n">
        <v>134</v>
      </c>
      <c r="J53" s="10" t="n">
        <v>13.6031</v>
      </c>
      <c r="K53" s="10" t="n">
        <v>0.3482</v>
      </c>
      <c r="L53" s="10" t="n">
        <v>2.8401</v>
      </c>
      <c r="M53" s="10" t="n">
        <v>2.696</v>
      </c>
      <c r="N53" s="10" t="n">
        <v>0.1216</v>
      </c>
      <c r="O53" s="10" t="n">
        <v>0.0044</v>
      </c>
      <c r="P53" s="10" t="n">
        <v>1.243</v>
      </c>
      <c r="Q53" s="10" t="n">
        <v>539.84</v>
      </c>
      <c r="R53" s="11" t="n">
        <f aca="false">IF(P53="","",0.1*P53*M53)</f>
        <v>0.3351128</v>
      </c>
      <c r="S53" s="12" t="n">
        <f aca="false">IF(R53="","",J53/R53)</f>
        <v>40.5926004616953</v>
      </c>
      <c r="T53" s="11" t="n">
        <f aca="false">1-M53/L53</f>
        <v>0.0507376500827436</v>
      </c>
      <c r="U53" s="13" t="n">
        <f aca="false">IF(R53="","",3.6*J53/(P53*N53*M53))</f>
        <v>120.175461893177</v>
      </c>
      <c r="V53" s="11" t="n">
        <f aca="false">(M53/3.6)^2</f>
        <v>0.560834567901235</v>
      </c>
      <c r="AA53" s="13" t="n">
        <f aca="false">(J53-P_aux-c_move*L53/3.6-P_rot0)/(P53*N53*M53/3.6)</f>
        <v>96.325082497736</v>
      </c>
    </row>
    <row r="54" customFormat="false" ht="15" hidden="false" customHeight="false" outlineLevel="0" collapsed="false">
      <c r="A54" s="6" t="s">
        <v>272</v>
      </c>
      <c r="B54" s="6" t="s">
        <v>275</v>
      </c>
      <c r="C54" s="6" t="n">
        <v>18</v>
      </c>
      <c r="D54" s="6" t="n">
        <v>3</v>
      </c>
      <c r="E54" s="6" t="s">
        <v>271</v>
      </c>
      <c r="F54" s="6" t="n">
        <v>0.08</v>
      </c>
      <c r="G54" s="6" t="n">
        <v>3.6</v>
      </c>
      <c r="H54" s="6" t="s">
        <v>277</v>
      </c>
      <c r="I54" s="6" t="n">
        <v>100</v>
      </c>
      <c r="J54" s="10" t="n">
        <v>11.7945</v>
      </c>
      <c r="K54" s="10" t="n">
        <v>0.303</v>
      </c>
      <c r="L54" s="10" t="n">
        <v>3.7897</v>
      </c>
      <c r="M54" s="10" t="n">
        <v>3.58</v>
      </c>
      <c r="N54" s="10" t="n">
        <v>0.0803</v>
      </c>
      <c r="O54" s="10" t="n">
        <v>0.0043</v>
      </c>
      <c r="P54" s="10" t="n">
        <v>1.242</v>
      </c>
      <c r="Q54" s="10" t="n">
        <v>540.01</v>
      </c>
      <c r="R54" s="11" t="n">
        <f aca="false">IF(P54="","",0.1*P54*M54)</f>
        <v>0.444636</v>
      </c>
      <c r="S54" s="12" t="n">
        <f aca="false">IF(R54="","",J54/R54)</f>
        <v>26.526192211157</v>
      </c>
      <c r="T54" s="11" t="n">
        <f aca="false">1-M54/L54</f>
        <v>0.0553341953188906</v>
      </c>
      <c r="U54" s="13" t="n">
        <f aca="false">IF(R54="","",3.6*J54/(P54*N54*M54))</f>
        <v>118.921907795972</v>
      </c>
      <c r="V54" s="11" t="n">
        <f aca="false">(M54/3.6)^2</f>
        <v>0.98891975308642</v>
      </c>
      <c r="AA54" s="13" t="n">
        <f aca="false">(J54-P_aux-c_move*L54/3.6-P_rot0)/(P54*N54*M54/3.6)</f>
        <v>86.5144921716044</v>
      </c>
    </row>
    <row r="55" customFormat="false" ht="15" hidden="false" customHeight="false" outlineLevel="0" collapsed="false">
      <c r="A55" s="6" t="s">
        <v>272</v>
      </c>
      <c r="B55" s="6" t="s">
        <v>275</v>
      </c>
      <c r="C55" s="6" t="n">
        <v>19</v>
      </c>
      <c r="D55" s="6" t="n">
        <v>3</v>
      </c>
      <c r="E55" s="6" t="s">
        <v>271</v>
      </c>
      <c r="F55" s="6" t="n">
        <v>0.12</v>
      </c>
      <c r="G55" s="6" t="n">
        <v>3.6</v>
      </c>
      <c r="H55" s="6" t="s">
        <v>277</v>
      </c>
      <c r="I55" s="6" t="n">
        <v>100</v>
      </c>
      <c r="J55" s="10" t="n">
        <v>16.2925</v>
      </c>
      <c r="K55" s="10" t="n">
        <v>0.4952</v>
      </c>
      <c r="L55" s="10" t="n">
        <v>3.7778</v>
      </c>
      <c r="M55" s="10" t="n">
        <v>3.594</v>
      </c>
      <c r="N55" s="10" t="n">
        <v>0.1205</v>
      </c>
      <c r="O55" s="10" t="n">
        <v>0.0049</v>
      </c>
      <c r="P55" s="10" t="n">
        <v>1.249</v>
      </c>
      <c r="Q55" s="10" t="n">
        <v>538.33</v>
      </c>
      <c r="R55" s="11" t="n">
        <f aca="false">IF(P55="","",0.1*P55*M55)</f>
        <v>0.4488906</v>
      </c>
      <c r="S55" s="12" t="n">
        <f aca="false">IF(R55="","",J55/R55)</f>
        <v>36.2950349149659</v>
      </c>
      <c r="T55" s="11" t="n">
        <f aca="false">1-M55/L55</f>
        <v>0.0486526549843825</v>
      </c>
      <c r="U55" s="13" t="n">
        <f aca="false">IF(R55="","",3.6*J55/(P55*N55*M55))</f>
        <v>108.433299331019</v>
      </c>
      <c r="V55" s="11" t="n">
        <f aca="false">(M55/3.6)^2</f>
        <v>0.996669444444444</v>
      </c>
      <c r="AA55" s="13" t="n">
        <f aca="false">(J55-P_aux-c_move*L55/3.6-P_rot0)/(P55*N55*M55/3.6)</f>
        <v>87.0849108329081</v>
      </c>
    </row>
    <row r="56" customFormat="false" ht="15" hidden="false" customHeight="false" outlineLevel="0" collapsed="false">
      <c r="A56" s="6" t="s">
        <v>272</v>
      </c>
      <c r="B56" s="6" t="s">
        <v>275</v>
      </c>
      <c r="C56" s="6" t="n">
        <v>20</v>
      </c>
      <c r="D56" s="6" t="n">
        <v>3</v>
      </c>
      <c r="E56" s="6" t="s">
        <v>271</v>
      </c>
      <c r="F56" s="6" t="n">
        <v>0.16</v>
      </c>
      <c r="G56" s="6" t="n">
        <v>2.7</v>
      </c>
      <c r="H56" s="6" t="s">
        <v>274</v>
      </c>
      <c r="I56" s="6" t="n">
        <v>134</v>
      </c>
      <c r="J56" s="10" t="n">
        <v>16.2153</v>
      </c>
      <c r="K56" s="10" t="n">
        <v>0.5465</v>
      </c>
      <c r="L56" s="10" t="n">
        <v>2.8322</v>
      </c>
      <c r="M56" s="10" t="n">
        <v>2.688</v>
      </c>
      <c r="N56" s="10" t="n">
        <v>0.1622</v>
      </c>
      <c r="O56" s="10" t="n">
        <v>0.005</v>
      </c>
      <c r="P56" s="10" t="n">
        <v>1.253</v>
      </c>
      <c r="Q56" s="10" t="n">
        <v>538.32</v>
      </c>
      <c r="R56" s="11" t="n">
        <f aca="false">IF(P56="","",0.1*P56*M56)</f>
        <v>0.3368064</v>
      </c>
      <c r="S56" s="12" t="n">
        <f aca="false">IF(R56="","",J56/R56)</f>
        <v>48.1442751681678</v>
      </c>
      <c r="T56" s="11" t="n">
        <f aca="false">1-M56/L56</f>
        <v>0.0509144834404349</v>
      </c>
      <c r="U56" s="13" t="n">
        <f aca="false">IF(R56="","",3.6*J56/(P56*N56*M56))</f>
        <v>106.855357956476</v>
      </c>
      <c r="V56" s="11" t="n">
        <f aca="false">(M56/3.6)^2</f>
        <v>0.557511111111111</v>
      </c>
      <c r="AA56" s="13" t="n">
        <f aca="false">(J56-P_aux-c_move*L56/3.6-P_rot0)/(P56*N56*M56/3.6)</f>
        <v>89.0930367396383</v>
      </c>
    </row>
    <row r="57" customFormat="false" ht="15" hidden="false" customHeight="false" outlineLevel="0" collapsed="false">
      <c r="A57" s="6" t="s">
        <v>272</v>
      </c>
      <c r="B57" s="6" t="s">
        <v>275</v>
      </c>
      <c r="C57" s="6" t="n">
        <v>21</v>
      </c>
      <c r="D57" s="6" t="n">
        <v>3</v>
      </c>
      <c r="E57" s="6" t="s">
        <v>271</v>
      </c>
      <c r="F57" s="6" t="n">
        <v>0.12</v>
      </c>
      <c r="G57" s="6" t="n">
        <v>2.7</v>
      </c>
      <c r="H57" s="6" t="s">
        <v>274</v>
      </c>
      <c r="I57" s="6" t="n">
        <v>134</v>
      </c>
      <c r="J57" s="10" t="n">
        <v>12.9499</v>
      </c>
      <c r="K57" s="10" t="n">
        <v>0.2893</v>
      </c>
      <c r="L57" s="10" t="n">
        <v>2.8409</v>
      </c>
      <c r="M57" s="10" t="n">
        <v>2.681</v>
      </c>
      <c r="N57" s="10" t="n">
        <v>0.1194</v>
      </c>
      <c r="O57" s="10" t="n">
        <v>0.0049</v>
      </c>
      <c r="P57" s="10" t="n">
        <v>1.25</v>
      </c>
      <c r="Q57" s="10" t="n">
        <v>539.94</v>
      </c>
      <c r="R57" s="11" t="n">
        <f aca="false">IF(P57="","",0.1*P57*M57)</f>
        <v>0.335125</v>
      </c>
      <c r="S57" s="12" t="n">
        <f aca="false">IF(R57="","",J57/R57)</f>
        <v>38.6419992540097</v>
      </c>
      <c r="T57" s="11" t="n">
        <f aca="false">1-M57/L57</f>
        <v>0.0562849801119364</v>
      </c>
      <c r="U57" s="13" t="n">
        <f aca="false">IF(R57="","",3.6*J57/(P57*N57*M57))</f>
        <v>116.508540464351</v>
      </c>
      <c r="V57" s="11" t="n">
        <f aca="false">(M57/3.6)^2</f>
        <v>0.554611188271605</v>
      </c>
      <c r="AA57" s="13" t="n">
        <f aca="false">(J57-P_aux-c_move*L57/3.6-P_rot0)/(P57*N57*M57/3.6)</f>
        <v>92.2156921397919</v>
      </c>
    </row>
    <row r="58" customFormat="false" ht="15" hidden="false" customHeight="false" outlineLevel="0" collapsed="false">
      <c r="A58" s="6" t="s">
        <v>272</v>
      </c>
      <c r="B58" s="6" t="s">
        <v>275</v>
      </c>
      <c r="C58" s="6" t="n">
        <v>22</v>
      </c>
      <c r="D58" s="6" t="n">
        <v>3</v>
      </c>
      <c r="E58" s="6" t="s">
        <v>271</v>
      </c>
      <c r="F58" s="6" t="n">
        <v>0.08</v>
      </c>
      <c r="G58" s="6" t="n">
        <v>2.7</v>
      </c>
      <c r="H58" s="6" t="s">
        <v>274</v>
      </c>
      <c r="I58" s="6" t="n">
        <v>134</v>
      </c>
      <c r="J58" s="10" t="n">
        <v>9.6824</v>
      </c>
      <c r="K58" s="10" t="n">
        <v>0.2914</v>
      </c>
      <c r="L58" s="10" t="n">
        <v>2.8412</v>
      </c>
      <c r="M58" s="10" t="n">
        <v>2.681</v>
      </c>
      <c r="N58" s="10" t="n">
        <v>0.0793</v>
      </c>
      <c r="O58" s="10" t="n">
        <v>0.0055</v>
      </c>
      <c r="P58" s="10" t="n">
        <v>1.247</v>
      </c>
      <c r="Q58" s="10" t="n">
        <v>540</v>
      </c>
      <c r="R58" s="11" t="n">
        <f aca="false">IF(P58="","",0.1*P58*M58)</f>
        <v>0.3343207</v>
      </c>
      <c r="S58" s="12" t="n">
        <f aca="false">IF(R58="","",J58/R58)</f>
        <v>28.9614133973756</v>
      </c>
      <c r="T58" s="11" t="n">
        <f aca="false">1-M58/L58</f>
        <v>0.0563846262142756</v>
      </c>
      <c r="U58" s="13" t="n">
        <f aca="false">IF(R58="","",3.6*J58/(P58*N58*M58))</f>
        <v>131.476782131844</v>
      </c>
      <c r="V58" s="11" t="n">
        <f aca="false">(M58/3.6)^2</f>
        <v>0.554611188271605</v>
      </c>
      <c r="AA58" s="13" t="n">
        <f aca="false">(J58-P_aux-c_move*L58/3.6-P_rot0)/(P58*N58*M58/3.6)</f>
        <v>94.8094531049567</v>
      </c>
    </row>
    <row r="59" customFormat="false" ht="15" hidden="false" customHeight="false" outlineLevel="0" collapsed="false">
      <c r="A59" s="6" t="s">
        <v>272</v>
      </c>
      <c r="B59" s="6" t="s">
        <v>275</v>
      </c>
      <c r="C59" s="6" t="n">
        <v>23</v>
      </c>
      <c r="D59" s="6" t="n">
        <v>3</v>
      </c>
      <c r="E59" s="6" t="s">
        <v>271</v>
      </c>
      <c r="F59" s="6" t="n">
        <v>0.08</v>
      </c>
      <c r="G59" s="6" t="n">
        <v>1.8</v>
      </c>
      <c r="H59" s="6" t="s">
        <v>276</v>
      </c>
      <c r="I59" s="6" t="n">
        <v>201</v>
      </c>
      <c r="J59" s="10" t="n">
        <v>7.388</v>
      </c>
      <c r="K59" s="10" t="n">
        <v>0.252</v>
      </c>
      <c r="L59" s="10" t="n">
        <v>1.8942</v>
      </c>
      <c r="M59" s="10" t="n">
        <v>1.788</v>
      </c>
      <c r="N59" s="10" t="n">
        <v>0.0817</v>
      </c>
      <c r="O59" s="10" t="n">
        <v>0.0047</v>
      </c>
      <c r="P59" s="10" t="n">
        <v>1.255</v>
      </c>
      <c r="Q59" s="10" t="n">
        <v>539.99</v>
      </c>
      <c r="R59" s="11" t="n">
        <f aca="false">IF(P59="","",0.1*P59*M59)</f>
        <v>0.224394</v>
      </c>
      <c r="S59" s="12" t="n">
        <f aca="false">IF(R59="","",J59/R59)</f>
        <v>32.9242314856904</v>
      </c>
      <c r="T59" s="11" t="n">
        <f aca="false">1-M59/L59</f>
        <v>0.056065885334178</v>
      </c>
      <c r="U59" s="13" t="n">
        <f aca="false">IF(R59="","",3.6*J59/(P59*N59*M59))</f>
        <v>145.076173009162</v>
      </c>
      <c r="V59" s="11" t="n">
        <f aca="false">(M59/3.6)^2</f>
        <v>0.246677777777778</v>
      </c>
      <c r="AA59" s="13" t="n">
        <f aca="false">(J59-P_aux-c_move*L59/3.6-P_rot0)/(P59*N59*M59/3.6)</f>
        <v>102.124596640511</v>
      </c>
    </row>
    <row r="60" customFormat="false" ht="15" hidden="false" customHeight="false" outlineLevel="0" collapsed="false">
      <c r="A60" s="6" t="s">
        <v>272</v>
      </c>
      <c r="B60" s="6" t="s">
        <v>275</v>
      </c>
      <c r="C60" s="6" t="n">
        <v>24</v>
      </c>
      <c r="D60" s="6" t="n">
        <v>3</v>
      </c>
      <c r="E60" s="6" t="s">
        <v>271</v>
      </c>
      <c r="F60" s="6" t="n">
        <v>0.16</v>
      </c>
      <c r="G60" s="6" t="n">
        <v>1.8</v>
      </c>
      <c r="H60" s="6" t="s">
        <v>276</v>
      </c>
      <c r="I60" s="6" t="n">
        <v>200</v>
      </c>
      <c r="J60" s="10" t="n">
        <v>12.4823</v>
      </c>
      <c r="K60" s="10" t="n">
        <v>0.3089</v>
      </c>
      <c r="L60" s="10" t="n">
        <v>1.8945</v>
      </c>
      <c r="M60" s="10" t="n">
        <v>1.797</v>
      </c>
      <c r="N60" s="10" t="n">
        <v>0.1593</v>
      </c>
      <c r="O60" s="10" t="n">
        <v>0.0039</v>
      </c>
      <c r="P60" s="10" t="n">
        <v>1.236</v>
      </c>
      <c r="Q60" s="10" t="n">
        <v>540.04</v>
      </c>
      <c r="R60" s="11" t="n">
        <f aca="false">IF(P60="","",0.1*P60*M60)</f>
        <v>0.2221092</v>
      </c>
      <c r="S60" s="12" t="n">
        <f aca="false">IF(R60="","",J60/R60)</f>
        <v>56.1989327772105</v>
      </c>
      <c r="T60" s="11" t="n">
        <f aca="false">1-M60/L60</f>
        <v>0.051464766429137</v>
      </c>
      <c r="U60" s="13" t="n">
        <f aca="false">IF(R60="","",3.6*J60/(P60*N60*M60))</f>
        <v>127.0032379146</v>
      </c>
      <c r="V60" s="11" t="n">
        <f aca="false">(M60/3.6)^2</f>
        <v>0.249167361111111</v>
      </c>
      <c r="AA60" s="13" t="n">
        <f aca="false">(J60-P_aux-c_move*L60/3.6-P_rot0)/(P60*N60*M60/3.6)</f>
        <v>104.746457206839</v>
      </c>
    </row>
    <row r="61" customFormat="false" ht="15" hidden="false" customHeight="false" outlineLevel="0" collapsed="false">
      <c r="A61" s="6" t="s">
        <v>272</v>
      </c>
      <c r="B61" s="6" t="s">
        <v>275</v>
      </c>
      <c r="C61" s="6" t="n">
        <v>25</v>
      </c>
      <c r="D61" s="6" t="n">
        <v>3</v>
      </c>
      <c r="E61" s="6" t="s">
        <v>271</v>
      </c>
      <c r="F61" s="6" t="n">
        <v>0.12</v>
      </c>
      <c r="G61" s="6" t="n">
        <v>1.8</v>
      </c>
      <c r="H61" s="6" t="s">
        <v>276</v>
      </c>
      <c r="I61" s="6" t="n">
        <v>201</v>
      </c>
      <c r="J61" s="10" t="n">
        <v>9.8814</v>
      </c>
      <c r="K61" s="10" t="n">
        <v>0.3387</v>
      </c>
      <c r="L61" s="10" t="n">
        <v>1.895</v>
      </c>
      <c r="M61" s="10" t="n">
        <v>1.794</v>
      </c>
      <c r="N61" s="10" t="n">
        <v>0.1196</v>
      </c>
      <c r="O61" s="10" t="n">
        <v>0.0043</v>
      </c>
      <c r="P61" s="10" t="n">
        <v>1.254</v>
      </c>
      <c r="Q61" s="10" t="n">
        <v>540.01</v>
      </c>
      <c r="R61" s="11" t="n">
        <f aca="false">IF(P61="","",0.1*P61*M61)</f>
        <v>0.2249676</v>
      </c>
      <c r="S61" s="12" t="n">
        <f aca="false">IF(R61="","",J61/R61)</f>
        <v>43.9236583401343</v>
      </c>
      <c r="T61" s="11" t="n">
        <f aca="false">1-M61/L61</f>
        <v>0.0532981530343007</v>
      </c>
      <c r="U61" s="13" t="n">
        <f aca="false">IF(R61="","",3.6*J61/(P61*N61*M61))</f>
        <v>132.211680622478</v>
      </c>
      <c r="V61" s="11" t="n">
        <f aca="false">(M61/3.6)^2</f>
        <v>0.248336111111111</v>
      </c>
      <c r="AA61" s="13" t="n">
        <f aca="false">(J61-P_aux-c_move*L61/3.6-P_rot0)/(P61*N61*M61/3.6)</f>
        <v>102.940024996783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7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46"/>
    <col collapsed="false" customWidth="true" hidden="false" outlineLevel="0" max="4" min="3" style="0" width="14"/>
    <col collapsed="false" customWidth="true" hidden="false" outlineLevel="0" max="5" min="5" style="0" width="70"/>
  </cols>
  <sheetData>
    <row r="1" customFormat="false" ht="45" hidden="false" customHeight="true" outlineLevel="0" collapsed="false">
      <c r="A1" s="4" t="s">
        <v>278</v>
      </c>
      <c r="B1" s="4" t="s">
        <v>279</v>
      </c>
      <c r="C1" s="4" t="s">
        <v>37</v>
      </c>
      <c r="D1" s="4" t="s">
        <v>38</v>
      </c>
      <c r="E1" s="4" t="s">
        <v>280</v>
      </c>
    </row>
    <row r="2" customFormat="false" ht="15" hidden="false" customHeight="false" outlineLevel="0" collapsed="false">
      <c r="A2" s="5" t="s">
        <v>281</v>
      </c>
      <c r="B2" s="6" t="s">
        <v>282</v>
      </c>
      <c r="C2" s="15" t="n">
        <f aca="false">AVERAGE(Проходы!W2:W5)/(m_ET*g)</f>
        <v>0.138107008796028</v>
      </c>
      <c r="D2" s="6" t="s">
        <v>75</v>
      </c>
      <c r="E2" s="6" t="s">
        <v>283</v>
      </c>
    </row>
    <row r="3" customFormat="false" ht="15" hidden="false" customHeight="false" outlineLevel="0" collapsed="false">
      <c r="A3" s="5" t="s">
        <v>284</v>
      </c>
      <c r="B3" s="6" t="s">
        <v>285</v>
      </c>
      <c r="C3" s="15" t="n">
        <f aca="false">INDEX(LINEST(Проходы!Y6:Y29,Проходы!V6:V29),1,2)*1000</f>
        <v>32665.5617483848</v>
      </c>
      <c r="D3" s="6" t="s">
        <v>286</v>
      </c>
      <c r="E3" s="6" t="s">
        <v>287</v>
      </c>
    </row>
    <row r="4" customFormat="false" ht="15" hidden="false" customHeight="false" outlineLevel="0" collapsed="false">
      <c r="A4" s="5" t="s">
        <v>288</v>
      </c>
      <c r="B4" s="6" t="s">
        <v>289</v>
      </c>
      <c r="C4" s="15" t="n">
        <f aca="false">INDEX(LINEST(Проходы!Y6:Y29,Проходы!V6:V29),1,1)*1000</f>
        <v>1825.26442411063</v>
      </c>
      <c r="D4" s="6" t="s">
        <v>290</v>
      </c>
      <c r="E4" s="6" t="s">
        <v>287</v>
      </c>
    </row>
    <row r="5" customFormat="false" ht="15" hidden="false" customHeight="false" outlineLevel="0" collapsed="false">
      <c r="A5" s="5" t="s">
        <v>291</v>
      </c>
      <c r="B5" s="6" t="s">
        <v>292</v>
      </c>
      <c r="C5" s="15" t="n">
        <f aca="false">INDEX(LINEST(Проходы!Y6:Y29,Проходы!V6:V29,TRUE(),TRUE()),3,1)</f>
        <v>0.483115332827959</v>
      </c>
      <c r="D5" s="6" t="s">
        <v>75</v>
      </c>
      <c r="E5" s="6" t="s">
        <v>293</v>
      </c>
    </row>
    <row r="6" customFormat="false" ht="15" hidden="false" customHeight="false" outlineLevel="0" collapsed="false">
      <c r="A6" s="5" t="s">
        <v>294</v>
      </c>
      <c r="B6" s="6" t="s">
        <v>295</v>
      </c>
      <c r="C6" s="15" t="n">
        <f aca="false">AVERAGE(Проходы!T2:T5)</f>
        <v>0.057053620247486</v>
      </c>
      <c r="D6" s="6" t="s">
        <v>75</v>
      </c>
      <c r="E6" s="6" t="s">
        <v>296</v>
      </c>
    </row>
    <row r="7" customFormat="false" ht="15" hidden="false" customHeight="false" outlineLevel="0" collapsed="false">
      <c r="A7" s="5" t="s">
        <v>297</v>
      </c>
      <c r="B7" s="6" t="s">
        <v>298</v>
      </c>
      <c r="C7" s="16" t="n">
        <v>0.658468</v>
      </c>
      <c r="D7" s="6" t="s">
        <v>75</v>
      </c>
      <c r="E7" s="6" t="s">
        <v>299</v>
      </c>
    </row>
    <row r="8" customFormat="false" ht="15" hidden="false" customHeight="false" outlineLevel="0" collapsed="false">
      <c r="A8" s="5" t="s">
        <v>300</v>
      </c>
      <c r="B8" s="6" t="s">
        <v>301</v>
      </c>
      <c r="C8" s="16" t="n">
        <v>9.110559</v>
      </c>
      <c r="D8" s="6" t="s">
        <v>75</v>
      </c>
      <c r="E8" s="6" t="s">
        <v>302</v>
      </c>
    </row>
    <row r="9" customFormat="false" ht="15" hidden="false" customHeight="false" outlineLevel="0" collapsed="false">
      <c r="A9" s="5" t="s">
        <v>303</v>
      </c>
      <c r="B9" s="6" t="s">
        <v>304</v>
      </c>
      <c r="C9" s="15" t="n">
        <f aca="false">AVERAGE(Проходы!AB30:AB37)</f>
        <v>1.950157382855</v>
      </c>
      <c r="D9" s="6" t="s">
        <v>305</v>
      </c>
      <c r="E9" s="6" t="s">
        <v>306</v>
      </c>
    </row>
    <row r="10" customFormat="false" ht="15" hidden="false" customHeight="false" outlineLevel="0" collapsed="false">
      <c r="A10" s="5" t="s">
        <v>307</v>
      </c>
      <c r="B10" s="6" t="s">
        <v>308</v>
      </c>
      <c r="C10" s="16" t="n">
        <v>0.9812</v>
      </c>
      <c r="D10" s="6" t="s">
        <v>66</v>
      </c>
      <c r="E10" s="6" t="s">
        <v>309</v>
      </c>
    </row>
    <row r="11" customFormat="false" ht="15" hidden="false" customHeight="false" outlineLevel="0" collapsed="false">
      <c r="A11" s="5" t="s">
        <v>310</v>
      </c>
      <c r="B11" s="6" t="s">
        <v>311</v>
      </c>
      <c r="C11" s="15" t="n">
        <f aca="false">INDEX(LINEST(Проходы!AA38:AA61,Проходы!M38:N61),1,3)</f>
        <v>125.328044543122</v>
      </c>
      <c r="D11" s="6" t="s">
        <v>312</v>
      </c>
      <c r="E11" s="6" t="s">
        <v>313</v>
      </c>
    </row>
    <row r="12" customFormat="false" ht="15" hidden="false" customHeight="false" outlineLevel="0" collapsed="false">
      <c r="A12" s="5" t="s">
        <v>314</v>
      </c>
      <c r="B12" s="6" t="s">
        <v>315</v>
      </c>
      <c r="C12" s="15" t="n">
        <f aca="false">INDEX(LINEST(Проходы!AA38:AA61,Проходы!M38:N61),1,2)</f>
        <v>-10.2345333528342</v>
      </c>
      <c r="D12" s="6" t="s">
        <v>316</v>
      </c>
      <c r="E12" s="6" t="s">
        <v>313</v>
      </c>
    </row>
    <row r="13" customFormat="false" ht="15" hidden="false" customHeight="false" outlineLevel="0" collapsed="false">
      <c r="A13" s="5" t="s">
        <v>317</v>
      </c>
      <c r="B13" s="6" t="s">
        <v>318</v>
      </c>
      <c r="C13" s="15" t="n">
        <f aca="false">INDEX(LINEST(Проходы!AA38:AA61,Проходы!M38:N61),1,1)</f>
        <v>-27.2192618396769</v>
      </c>
      <c r="D13" s="6" t="s">
        <v>319</v>
      </c>
      <c r="E13" s="6" t="s">
        <v>313</v>
      </c>
    </row>
    <row r="14" customFormat="false" ht="15" hidden="false" customHeight="false" outlineLevel="0" collapsed="false">
      <c r="A14" s="5" t="s">
        <v>320</v>
      </c>
      <c r="B14" s="6" t="s">
        <v>321</v>
      </c>
      <c r="C14" s="15" t="n">
        <f aca="false">AVERAGE(Проходы!T38:T61)</f>
        <v>0.0526544508970218</v>
      </c>
      <c r="D14" s="6" t="s">
        <v>75</v>
      </c>
      <c r="E14" s="6" t="s">
        <v>322</v>
      </c>
    </row>
    <row r="15" customFormat="false" ht="15" hidden="false" customHeight="false" outlineLevel="0" collapsed="false">
      <c r="A15" s="5" t="s">
        <v>323</v>
      </c>
      <c r="B15" s="6" t="s">
        <v>324</v>
      </c>
      <c r="C15" s="16" t="n">
        <v>0.032418</v>
      </c>
      <c r="D15" s="6" t="s">
        <v>75</v>
      </c>
      <c r="E15" s="6" t="s">
        <v>325</v>
      </c>
    </row>
    <row r="16" customFormat="false" ht="15" hidden="false" customHeight="false" outlineLevel="0" collapsed="false">
      <c r="A16" s="5" t="s">
        <v>326</v>
      </c>
      <c r="B16" s="6" t="s">
        <v>327</v>
      </c>
      <c r="C16" s="16" t="n">
        <v>32.194</v>
      </c>
      <c r="D16" s="6" t="s">
        <v>328</v>
      </c>
      <c r="E16" s="6" t="s">
        <v>60</v>
      </c>
    </row>
    <row r="17" customFormat="false" ht="15" hidden="false" customHeight="false" outlineLevel="0" collapsed="false">
      <c r="A17" s="5" t="s">
        <v>329</v>
      </c>
      <c r="B17" s="6" t="s">
        <v>330</v>
      </c>
      <c r="C17" s="16" t="n">
        <v>2.9974</v>
      </c>
      <c r="D17" s="6" t="s">
        <v>66</v>
      </c>
      <c r="E17" s="6" t="s">
        <v>60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7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12" min="2" style="0" width="10"/>
  </cols>
  <sheetData>
    <row r="1" customFormat="false" ht="45" hidden="false" customHeight="true" outlineLevel="0" collapsed="false">
      <c r="A1" s="4" t="s">
        <v>239</v>
      </c>
      <c r="B1" s="4" t="s">
        <v>252</v>
      </c>
      <c r="C1" s="4" t="s">
        <v>251</v>
      </c>
      <c r="D1" s="4" t="s">
        <v>331</v>
      </c>
      <c r="E1" s="4" t="s">
        <v>248</v>
      </c>
      <c r="F1" s="4" t="s">
        <v>332</v>
      </c>
      <c r="G1" s="4" t="s">
        <v>333</v>
      </c>
      <c r="H1" s="4" t="s">
        <v>257</v>
      </c>
      <c r="I1" s="4" t="s">
        <v>334</v>
      </c>
      <c r="J1" s="4" t="s">
        <v>335</v>
      </c>
      <c r="K1" s="4" t="s">
        <v>258</v>
      </c>
      <c r="L1" s="4" t="s">
        <v>256</v>
      </c>
    </row>
    <row r="2" customFormat="false" ht="15" hidden="false" customHeight="false" outlineLevel="0" collapsed="false">
      <c r="A2" s="6" t="s">
        <v>267</v>
      </c>
      <c r="B2" s="6" t="n">
        <v>0.08</v>
      </c>
      <c r="C2" s="6" t="n">
        <v>3.6</v>
      </c>
      <c r="D2" s="6" t="n">
        <f aca="false">COUNTIFS(Проходы!$A$6:$A$61,$A2,Проходы!$F$6:$F$61,$B2,Проходы!$G$6:$G$61,$C2,Проходы!$E$6:$E$61,"рабочий")</f>
        <v>3</v>
      </c>
      <c r="E2" s="12" t="n">
        <f aca="false">AVERAGEIFS(Проходы!$J$6:$J$61,Проходы!$A$6:$A$61,$A2,Проходы!$F$6:$F$61,$B2,Проходы!$G$6:$G$61,$C2,Проходы!$E$6:$E$61,"рабочий")</f>
        <v>7.4258</v>
      </c>
      <c r="F2" s="12" t="n">
        <f aca="false">SQRT(SUMPRODUCT((Проходы!$A$6:$A$61=$A2)*(Проходы!$F$6:$F$61=$B2)*(Проходы!$G$6:$G$61=$C2)*(Проходы!$E$6:$E$61="рабочий")*(Проходы!$J$6:$J$61-E2)^2)/(D2-1))</f>
        <v>0.253193147616597</v>
      </c>
      <c r="G2" s="12" t="n">
        <f aca="false">TINV(0.05,D2-1)*F2/SQRT(D2)</f>
        <v>0.628966646351157</v>
      </c>
      <c r="H2" s="12" t="n">
        <f aca="false">AVERAGEIFS(Проходы!$S$6:$S$61,Проходы!$A$6:$A$61,$A2,Проходы!$F$6:$F$61,$B2,Проходы!$G$6:$G$61,$C2,Проходы!$E$6:$E$61,"рабочий")</f>
        <v>17.135508036104</v>
      </c>
      <c r="I2" s="12" t="n">
        <f aca="false">SQRT(SUMPRODUCT((Проходы!$A$6:$A$61=$A2)*(Проходы!$F$6:$F$61=$B2)*(Проходы!$G$6:$G$61=$C2)*(Проходы!$E$6:$E$61="рабочий")*(Проходы!$S$6:$S$61-H2)^2)/(D2-1))</f>
        <v>0.637606357435771</v>
      </c>
      <c r="J2" s="12" t="n">
        <f aca="false">TINV(0.05,D2-1)*I2/SQRT(D2)</f>
        <v>1.58390199775796</v>
      </c>
      <c r="K2" s="11" t="n">
        <f aca="false">AVERAGEIFS(Проходы!$T$6:$T$61,Проходы!$A$6:$A$61,$A2,Проходы!$F$6:$F$61,$B2,Проходы!$G$6:$G$61,$C2,Проходы!$E$6:$E$61,"рабочий")</f>
        <v>0.110983140277276</v>
      </c>
      <c r="L2" s="11" t="n">
        <f aca="false">AVERAGEIFS(Проходы!$R$6:$R$61,Проходы!$A$6:$A$61,$A2,Проходы!$F$6:$F$61,$B2,Проходы!$G$6:$G$61,$C2,Проходы!$E$6:$E$61,"рабочий")</f>
        <v>0.433399133333333</v>
      </c>
    </row>
    <row r="3" customFormat="false" ht="15" hidden="false" customHeight="false" outlineLevel="0" collapsed="false">
      <c r="A3" s="6" t="s">
        <v>267</v>
      </c>
      <c r="B3" s="6" t="n">
        <v>0.08</v>
      </c>
      <c r="C3" s="6" t="n">
        <v>4.5</v>
      </c>
      <c r="D3" s="6" t="n">
        <f aca="false">COUNTIFS(Проходы!$A$6:$A$61,$A3,Проходы!$F$6:$F$61,$B3,Проходы!$G$6:$G$61,$C3,Проходы!$E$6:$E$61,"рабочий")</f>
        <v>3</v>
      </c>
      <c r="E3" s="12" t="n">
        <f aca="false">AVERAGEIFS(Проходы!$J$6:$J$61,Проходы!$A$6:$A$61,$A3,Проходы!$F$6:$F$61,$B3,Проходы!$G$6:$G$61,$C3,Проходы!$E$6:$E$61,"рабочий")</f>
        <v>9.38143333333333</v>
      </c>
      <c r="F3" s="12" t="n">
        <f aca="false">SQRT(SUMPRODUCT((Проходы!$A$6:$A$61=$A3)*(Проходы!$F$6:$F$61=$B3)*(Проходы!$G$6:$G$61=$C3)*(Проходы!$E$6:$E$61="рабочий")*(Проходы!$J$6:$J$61-E3)^2)/(D3-1))</f>
        <v>0.185188669559812</v>
      </c>
      <c r="G3" s="12" t="n">
        <f aca="false">TINV(0.05,D3-1)*F3/SQRT(D3)</f>
        <v>0.460034157842399</v>
      </c>
      <c r="H3" s="12" t="n">
        <f aca="false">AVERAGEIFS(Проходы!$S$6:$S$61,Проходы!$A$6:$A$61,$A3,Проходы!$F$6:$F$61,$B3,Проходы!$G$6:$G$61,$C3,Проходы!$E$6:$E$61,"рабочий")</f>
        <v>17.3058142501991</v>
      </c>
      <c r="I3" s="12" t="n">
        <f aca="false">SQRT(SUMPRODUCT((Проходы!$A$6:$A$61=$A3)*(Проходы!$F$6:$F$61=$B3)*(Проходы!$G$6:$G$61=$C3)*(Проходы!$E$6:$E$61="рабочий")*(Проходы!$S$6:$S$61-H3)^2)/(D3-1))</f>
        <v>0.382830579626933</v>
      </c>
      <c r="J3" s="12" t="n">
        <f aca="false">TINV(0.05,D3-1)*I3/SQRT(D3)</f>
        <v>0.951003880062503</v>
      </c>
      <c r="K3" s="11" t="n">
        <f aca="false">AVERAGEIFS(Проходы!$T$6:$T$61,Проходы!$A$6:$A$61,$A3,Проходы!$F$6:$F$61,$B3,Проходы!$G$6:$G$61,$C3,Проходы!$E$6:$E$61,"рабочий")</f>
        <v>0.109735273724991</v>
      </c>
      <c r="L3" s="11" t="n">
        <f aca="false">AVERAGEIFS(Проходы!$R$6:$R$61,Проходы!$A$6:$A$61,$A3,Проходы!$F$6:$F$61,$B3,Проходы!$G$6:$G$61,$C3,Проходы!$E$6:$E$61,"рабочий")</f>
        <v>0.542116966666667</v>
      </c>
    </row>
    <row r="4" customFormat="false" ht="15" hidden="false" customHeight="false" outlineLevel="0" collapsed="false">
      <c r="A4" s="6" t="s">
        <v>267</v>
      </c>
      <c r="B4" s="6" t="n">
        <v>0.08</v>
      </c>
      <c r="C4" s="6" t="n">
        <v>5.4</v>
      </c>
      <c r="D4" s="6" t="n">
        <f aca="false">COUNTIFS(Проходы!$A$6:$A$61,$A4,Проходы!$F$6:$F$61,$B4,Проходы!$G$6:$G$61,$C4,Проходы!$E$6:$E$61,"рабочий")</f>
        <v>3</v>
      </c>
      <c r="E4" s="12" t="n">
        <f aca="false">AVERAGEIFS(Проходы!$J$6:$J$61,Проходы!$A$6:$A$61,$A4,Проходы!$F$6:$F$61,$B4,Проходы!$G$6:$G$61,$C4,Проходы!$E$6:$E$61,"рабочий")</f>
        <v>11.7325333333333</v>
      </c>
      <c r="F4" s="12" t="n">
        <f aca="false">SQRT(SUMPRODUCT((Проходы!$A$6:$A$61=$A4)*(Проходы!$F$6:$F$61=$B4)*(Проходы!$G$6:$G$61=$C4)*(Проходы!$E$6:$E$61="рабочий")*(Проходы!$J$6:$J$61-E4)^2)/(D4-1))</f>
        <v>0.276344066940713</v>
      </c>
      <c r="G4" s="12" t="n">
        <f aca="false">TINV(0.05,D4-1)*F4/SQRT(D4)</f>
        <v>0.686476718105884</v>
      </c>
      <c r="H4" s="12" t="n">
        <f aca="false">AVERAGEIFS(Проходы!$S$6:$S$61,Проходы!$A$6:$A$61,$A4,Проходы!$F$6:$F$61,$B4,Проходы!$G$6:$G$61,$C4,Проходы!$E$6:$E$61,"рабочий")</f>
        <v>18.0132555141906</v>
      </c>
      <c r="I4" s="12" t="n">
        <f aca="false">SQRT(SUMPRODUCT((Проходы!$A$6:$A$61=$A4)*(Проходы!$F$6:$F$61=$B4)*(Проходы!$G$6:$G$61=$C4)*(Проходы!$E$6:$E$61="рабочий")*(Проходы!$S$6:$S$61-H4)^2)/(D4-1))</f>
        <v>0.55814151967137</v>
      </c>
      <c r="J4" s="12" t="n">
        <f aca="false">TINV(0.05,D4-1)*I4/SQRT(D4)</f>
        <v>1.38650039750929</v>
      </c>
      <c r="K4" s="11" t="n">
        <f aca="false">AVERAGEIFS(Проходы!$T$6:$T$61,Проходы!$A$6:$A$61,$A4,Проходы!$F$6:$F$61,$B4,Проходы!$G$6:$G$61,$C4,Проходы!$E$6:$E$61,"рабочий")</f>
        <v>0.116183060652452</v>
      </c>
      <c r="L4" s="11" t="n">
        <f aca="false">AVERAGEIFS(Проходы!$R$6:$R$61,Проходы!$A$6:$A$61,$A4,Проходы!$F$6:$F$61,$B4,Проходы!$G$6:$G$61,$C4,Проходы!$E$6:$E$61,"рабочий")</f>
        <v>0.651426633333333</v>
      </c>
    </row>
    <row r="5" customFormat="false" ht="15" hidden="false" customHeight="false" outlineLevel="0" collapsed="false">
      <c r="A5" s="6" t="s">
        <v>267</v>
      </c>
      <c r="B5" s="6" t="n">
        <v>0.11</v>
      </c>
      <c r="C5" s="6" t="n">
        <v>3.6</v>
      </c>
      <c r="D5" s="6" t="n">
        <f aca="false">COUNTIFS(Проходы!$A$6:$A$61,$A5,Проходы!$F$6:$F$61,$B5,Проходы!$G$6:$G$61,$C5,Проходы!$E$6:$E$61,"рабочий")</f>
        <v>3</v>
      </c>
      <c r="E5" s="12" t="n">
        <f aca="false">AVERAGEIFS(Проходы!$J$6:$J$61,Проходы!$A$6:$A$61,$A5,Проходы!$F$6:$F$61,$B5,Проходы!$G$6:$G$61,$C5,Проходы!$E$6:$E$61,"рабочий")</f>
        <v>9.83313333333333</v>
      </c>
      <c r="F5" s="12" t="n">
        <f aca="false">SQRT(SUMPRODUCT((Проходы!$A$6:$A$61=$A5)*(Проходы!$F$6:$F$61=$B5)*(Проходы!$G$6:$G$61=$C5)*(Проходы!$E$6:$E$61="рабочий")*(Проходы!$J$6:$J$61-E5)^2)/(D5-1))</f>
        <v>0.260206097801979</v>
      </c>
      <c r="G5" s="12" t="n">
        <f aca="false">TINV(0.05,D5-1)*F5/SQRT(D5)</f>
        <v>0.646387780377291</v>
      </c>
      <c r="H5" s="12" t="n">
        <f aca="false">AVERAGEIFS(Проходы!$S$6:$S$61,Проходы!$A$6:$A$61,$A5,Проходы!$F$6:$F$61,$B5,Проходы!$G$6:$G$61,$C5,Проходы!$E$6:$E$61,"рабочий")</f>
        <v>22.8228712510266</v>
      </c>
      <c r="I5" s="12" t="n">
        <f aca="false">SQRT(SUMPRODUCT((Проходы!$A$6:$A$61=$A5)*(Проходы!$F$6:$F$61=$B5)*(Проходы!$G$6:$G$61=$C5)*(Проходы!$E$6:$E$61="рабочий")*(Проходы!$S$6:$S$61-H5)^2)/(D5-1))</f>
        <v>0.647932172327531</v>
      </c>
      <c r="J5" s="12" t="n">
        <f aca="false">TINV(0.05,D5-1)*I5/SQRT(D5)</f>
        <v>1.60955274393513</v>
      </c>
      <c r="K5" s="11" t="n">
        <f aca="false">AVERAGEIFS(Проходы!$T$6:$T$61,Проходы!$A$6:$A$61,$A5,Проходы!$F$6:$F$61,$B5,Проходы!$G$6:$G$61,$C5,Проходы!$E$6:$E$61,"рабочий")</f>
        <v>0.146868173868393</v>
      </c>
      <c r="L5" s="11" t="n">
        <f aca="false">AVERAGEIFS(Проходы!$R$6:$R$61,Проходы!$A$6:$A$61,$A5,Проходы!$F$6:$F$61,$B5,Проходы!$G$6:$G$61,$C5,Проходы!$E$6:$E$61,"рабочий")</f>
        <v>0.430862366666667</v>
      </c>
    </row>
    <row r="6" customFormat="false" ht="15" hidden="false" customHeight="false" outlineLevel="0" collapsed="false">
      <c r="A6" s="6" t="s">
        <v>267</v>
      </c>
      <c r="B6" s="6" t="n">
        <v>0.11</v>
      </c>
      <c r="C6" s="6" t="n">
        <v>4.5</v>
      </c>
      <c r="D6" s="6" t="n">
        <f aca="false">COUNTIFS(Проходы!$A$6:$A$61,$A6,Проходы!$F$6:$F$61,$B6,Проходы!$G$6:$G$61,$C6,Проходы!$E$6:$E$61,"рабочий")</f>
        <v>3</v>
      </c>
      <c r="E6" s="12" t="n">
        <f aca="false">AVERAGEIFS(Проходы!$J$6:$J$61,Проходы!$A$6:$A$61,$A6,Проходы!$F$6:$F$61,$B6,Проходы!$G$6:$G$61,$C6,Проходы!$E$6:$E$61,"рабочий")</f>
        <v>12.0427</v>
      </c>
      <c r="F6" s="12" t="n">
        <f aca="false">SQRT(SUMPRODUCT((Проходы!$A$6:$A$61=$A6)*(Проходы!$F$6:$F$61=$B6)*(Проходы!$G$6:$G$61=$C6)*(Проходы!$E$6:$E$61="рабочий")*(Проходы!$J$6:$J$61-E6)^2)/(D6-1))</f>
        <v>0.0433729178174584</v>
      </c>
      <c r="G6" s="12" t="n">
        <f aca="false">TINV(0.05,D6-1)*F6/SQRT(D6)</f>
        <v>0.107744300818996</v>
      </c>
      <c r="H6" s="12" t="n">
        <f aca="false">AVERAGEIFS(Проходы!$S$6:$S$61,Проходы!$A$6:$A$61,$A6,Проходы!$F$6:$F$61,$B6,Проходы!$G$6:$G$61,$C6,Проходы!$E$6:$E$61,"рабочий")</f>
        <v>22.3546771079961</v>
      </c>
      <c r="I6" s="12" t="n">
        <f aca="false">SQRT(SUMPRODUCT((Проходы!$A$6:$A$61=$A6)*(Проходы!$F$6:$F$61=$B6)*(Проходы!$G$6:$G$61=$C6)*(Проходы!$E$6:$E$61="рабочий")*(Проходы!$S$6:$S$61-H6)^2)/(D6-1))</f>
        <v>0.1193917622733</v>
      </c>
      <c r="J6" s="12" t="n">
        <f aca="false">TINV(0.05,D6-1)*I6/SQRT(D6)</f>
        <v>0.296585579135436</v>
      </c>
      <c r="K6" s="11" t="n">
        <f aca="false">AVERAGEIFS(Проходы!$T$6:$T$61,Проходы!$A$6:$A$61,$A6,Проходы!$F$6:$F$61,$B6,Проходы!$G$6:$G$61,$C6,Проходы!$E$6:$E$61,"рабочий")</f>
        <v>0.141960595995317</v>
      </c>
      <c r="L6" s="11" t="n">
        <f aca="false">AVERAGEIFS(Проходы!$R$6:$R$61,Проходы!$A$6:$A$61,$A6,Проходы!$F$6:$F$61,$B6,Проходы!$G$6:$G$61,$C6,Проходы!$E$6:$E$61,"рабочий")</f>
        <v>0.538718633333333</v>
      </c>
    </row>
    <row r="7" customFormat="false" ht="15" hidden="false" customHeight="false" outlineLevel="0" collapsed="false">
      <c r="A7" s="6" t="s">
        <v>267</v>
      </c>
      <c r="B7" s="6" t="n">
        <v>0.11</v>
      </c>
      <c r="C7" s="6" t="n">
        <v>5.4</v>
      </c>
      <c r="D7" s="6" t="n">
        <f aca="false">COUNTIFS(Проходы!$A$6:$A$61,$A7,Проходы!$F$6:$F$61,$B7,Проходы!$G$6:$G$61,$C7,Проходы!$E$6:$E$61,"рабочий")</f>
        <v>3</v>
      </c>
      <c r="E7" s="12" t="n">
        <f aca="false">AVERAGEIFS(Проходы!$J$6:$J$61,Проходы!$A$6:$A$61,$A7,Проходы!$F$6:$F$61,$B7,Проходы!$G$6:$G$61,$C7,Проходы!$E$6:$E$61,"рабочий")</f>
        <v>15.4264666666667</v>
      </c>
      <c r="F7" s="12" t="n">
        <f aca="false">SQRT(SUMPRODUCT((Проходы!$A$6:$A$61=$A7)*(Проходы!$F$6:$F$61=$B7)*(Проходы!$G$6:$G$61=$C7)*(Проходы!$E$6:$E$61="рабочий")*(Проходы!$J$6:$J$61-E7)^2)/(D7-1))</f>
        <v>0.153089298559152</v>
      </c>
      <c r="G7" s="12" t="n">
        <f aca="false">TINV(0.05,D7-1)*F7/SQRT(D7)</f>
        <v>0.380294899816195</v>
      </c>
      <c r="H7" s="12" t="n">
        <f aca="false">AVERAGEIFS(Проходы!$S$6:$S$61,Проходы!$A$6:$A$61,$A7,Проходы!$F$6:$F$61,$B7,Проходы!$G$6:$G$61,$C7,Проходы!$E$6:$E$61,"рабочий")</f>
        <v>23.8465660719569</v>
      </c>
      <c r="I7" s="12" t="n">
        <f aca="false">SQRT(SUMPRODUCT((Проходы!$A$6:$A$61=$A7)*(Проходы!$F$6:$F$61=$B7)*(Проходы!$G$6:$G$61=$C7)*(Проходы!$E$6:$E$61="рабочий")*(Проходы!$S$6:$S$61-H7)^2)/(D7-1))</f>
        <v>0.45081681665849</v>
      </c>
      <c r="J7" s="12" t="n">
        <f aca="false">TINV(0.05,D7-1)*I7/SQRT(D7)</f>
        <v>1.11989105535259</v>
      </c>
      <c r="K7" s="11" t="n">
        <f aca="false">AVERAGEIFS(Проходы!$T$6:$T$61,Проходы!$A$6:$A$61,$A7,Проходы!$F$6:$F$61,$B7,Проходы!$G$6:$G$61,$C7,Проходы!$E$6:$E$61,"рабочий")</f>
        <v>0.153833064759653</v>
      </c>
      <c r="L7" s="11" t="n">
        <f aca="false">AVERAGEIFS(Проходы!$R$6:$R$61,Проходы!$A$6:$A$61,$A7,Проходы!$F$6:$F$61,$B7,Проходы!$G$6:$G$61,$C7,Проходы!$E$6:$E$61,"рабочий")</f>
        <v>0.646982</v>
      </c>
    </row>
    <row r="8" customFormat="false" ht="15" hidden="false" customHeight="false" outlineLevel="0" collapsed="false">
      <c r="A8" s="6" t="s">
        <v>267</v>
      </c>
      <c r="B8" s="6" t="n">
        <v>0.14</v>
      </c>
      <c r="C8" s="6" t="n">
        <v>3.6</v>
      </c>
      <c r="D8" s="6" t="n">
        <f aca="false">COUNTIFS(Проходы!$A$6:$A$61,$A8,Проходы!$F$6:$F$61,$B8,Проходы!$G$6:$G$61,$C8,Проходы!$E$6:$E$61,"рабочий")</f>
        <v>3</v>
      </c>
      <c r="E8" s="12" t="n">
        <f aca="false">AVERAGEIFS(Проходы!$J$6:$J$61,Проходы!$A$6:$A$61,$A8,Проходы!$F$6:$F$61,$B8,Проходы!$G$6:$G$61,$C8,Проходы!$E$6:$E$61,"рабочий")</f>
        <v>12.0999</v>
      </c>
      <c r="F8" s="12" t="n">
        <f aca="false">SQRT(SUMPRODUCT((Проходы!$A$6:$A$61=$A8)*(Проходы!$F$6:$F$61=$B8)*(Проходы!$G$6:$G$61=$C8)*(Проходы!$E$6:$E$61="рабочий")*(Проходы!$J$6:$J$61-E8)^2)/(D8-1))</f>
        <v>0.149453036101646</v>
      </c>
      <c r="G8" s="12" t="n">
        <f aca="false">TINV(0.05,D8-1)*F8/SQRT(D8)</f>
        <v>0.371261923115683</v>
      </c>
      <c r="H8" s="12" t="n">
        <f aca="false">AVERAGEIFS(Проходы!$S$6:$S$61,Проходы!$A$6:$A$61,$A8,Проходы!$F$6:$F$61,$B8,Проходы!$G$6:$G$61,$C8,Проходы!$E$6:$E$61,"рабочий")</f>
        <v>28.1031372767052</v>
      </c>
      <c r="I8" s="12" t="n">
        <f aca="false">SQRT(SUMPRODUCT((Проходы!$A$6:$A$61=$A8)*(Проходы!$F$6:$F$61=$B8)*(Проходы!$G$6:$G$61=$C8)*(Проходы!$E$6:$E$61="рабочий")*(Проходы!$S$6:$S$61-H8)^2)/(D8-1))</f>
        <v>0.287858008235339</v>
      </c>
      <c r="J8" s="12" t="n">
        <f aca="false">TINV(0.05,D8-1)*I8/SQRT(D8)</f>
        <v>0.715078933886742</v>
      </c>
      <c r="K8" s="11" t="n">
        <f aca="false">AVERAGEIFS(Проходы!$T$6:$T$61,Проходы!$A$6:$A$61,$A8,Проходы!$F$6:$F$61,$B8,Проходы!$G$6:$G$61,$C8,Проходы!$E$6:$E$61,"рабочий")</f>
        <v>0.184801584280613</v>
      </c>
      <c r="L8" s="11" t="n">
        <f aca="false">AVERAGEIFS(Проходы!$R$6:$R$61,Проходы!$A$6:$A$61,$A8,Проходы!$F$6:$F$61,$B8,Проходы!$G$6:$G$61,$C8,Проходы!$E$6:$E$61,"рабочий")</f>
        <v>0.430566666666667</v>
      </c>
    </row>
    <row r="9" customFormat="false" ht="15" hidden="false" customHeight="false" outlineLevel="0" collapsed="false">
      <c r="A9" s="6" t="s">
        <v>267</v>
      </c>
      <c r="B9" s="6" t="n">
        <v>0.14</v>
      </c>
      <c r="C9" s="6" t="n">
        <v>4.5</v>
      </c>
      <c r="D9" s="6" t="n">
        <f aca="false">COUNTIFS(Проходы!$A$6:$A$61,$A9,Проходы!$F$6:$F$61,$B9,Проходы!$G$6:$G$61,$C9,Проходы!$E$6:$E$61,"рабочий")</f>
        <v>3</v>
      </c>
      <c r="E9" s="12" t="n">
        <f aca="false">AVERAGEIFS(Проходы!$J$6:$J$61,Проходы!$A$6:$A$61,$A9,Проходы!$F$6:$F$61,$B9,Проходы!$G$6:$G$61,$C9,Проходы!$E$6:$E$61,"рабочий")</f>
        <v>15.5144</v>
      </c>
      <c r="F9" s="12" t="n">
        <f aca="false">SQRT(SUMPRODUCT((Проходы!$A$6:$A$61=$A9)*(Проходы!$F$6:$F$61=$B9)*(Проходы!$G$6:$G$61=$C9)*(Проходы!$E$6:$E$61="рабочий")*(Проходы!$J$6:$J$61-E9)^2)/(D9-1))</f>
        <v>0.548142691276642</v>
      </c>
      <c r="G9" s="12" t="n">
        <f aca="false">TINV(0.05,D9-1)*F9/SQRT(D9)</f>
        <v>1.36166193082063</v>
      </c>
      <c r="H9" s="12" t="n">
        <f aca="false">AVERAGEIFS(Проходы!$S$6:$S$61,Проходы!$A$6:$A$61,$A9,Проходы!$F$6:$F$61,$B9,Проходы!$G$6:$G$61,$C9,Проходы!$E$6:$E$61,"рабочий")</f>
        <v>29.0472238669979</v>
      </c>
      <c r="I9" s="12" t="n">
        <f aca="false">SQRT(SUMPRODUCT((Проходы!$A$6:$A$61=$A9)*(Проходы!$F$6:$F$61=$B9)*(Проходы!$G$6:$G$61=$C9)*(Проходы!$E$6:$E$61="рабочий")*(Проходы!$S$6:$S$61-H9)^2)/(D9-1))</f>
        <v>1.43896587680804</v>
      </c>
      <c r="J9" s="12" t="n">
        <f aca="false">TINV(0.05,D9-1)*I9/SQRT(D9)</f>
        <v>3.57458940050074</v>
      </c>
      <c r="K9" s="11" t="n">
        <f aca="false">AVERAGEIFS(Проходы!$T$6:$T$61,Проходы!$A$6:$A$61,$A9,Проходы!$F$6:$F$61,$B9,Проходы!$G$6:$G$61,$C9,Проходы!$E$6:$E$61,"рабочий")</f>
        <v>0.191451157975444</v>
      </c>
      <c r="L9" s="11" t="n">
        <f aca="false">AVERAGEIFS(Проходы!$R$6:$R$61,Проходы!$A$6:$A$61,$A9,Проходы!$F$6:$F$61,$B9,Проходы!$G$6:$G$61,$C9,Проходы!$E$6:$E$61,"рабочий")</f>
        <v>0.534368666666667</v>
      </c>
    </row>
    <row r="10" customFormat="false" ht="15" hidden="false" customHeight="false" outlineLevel="0" collapsed="false">
      <c r="A10" s="6" t="s">
        <v>272</v>
      </c>
      <c r="B10" s="6" t="n">
        <v>0.08</v>
      </c>
      <c r="C10" s="6" t="n">
        <v>1.8</v>
      </c>
      <c r="D10" s="6" t="n">
        <f aca="false">COUNTIFS(Проходы!$A$6:$A$61,$A10,Проходы!$F$6:$F$61,$B10,Проходы!$G$6:$G$61,$C10,Проходы!$E$6:$E$61,"рабочий")</f>
        <v>3</v>
      </c>
      <c r="E10" s="12" t="n">
        <f aca="false">AVERAGEIFS(Проходы!$J$6:$J$61,Проходы!$A$6:$A$61,$A10,Проходы!$F$6:$F$61,$B10,Проходы!$G$6:$G$61,$C10,Проходы!$E$6:$E$61,"рабочий")</f>
        <v>7.30303333333333</v>
      </c>
      <c r="F10" s="12" t="n">
        <f aca="false">SQRT(SUMPRODUCT((Проходы!$A$6:$A$61=$A10)*(Проходы!$F$6:$F$61=$B10)*(Проходы!$G$6:$G$61=$C10)*(Проходы!$E$6:$E$61="рабочий")*(Проходы!$J$6:$J$61-E10)^2)/(D10-1))</f>
        <v>0.133466562604022</v>
      </c>
      <c r="G10" s="12" t="n">
        <f aca="false">TINV(0.05,D10-1)*F10/SQRT(D10)</f>
        <v>0.331549321422337</v>
      </c>
      <c r="H10" s="12" t="n">
        <f aca="false">AVERAGEIFS(Проходы!$S$6:$S$61,Проходы!$A$6:$A$61,$A10,Проходы!$F$6:$F$61,$B10,Проходы!$G$6:$G$61,$C10,Проходы!$E$6:$E$61,"рабочий")</f>
        <v>32.7796605120897</v>
      </c>
      <c r="I10" s="12" t="n">
        <f aca="false">SQRT(SUMPRODUCT((Проходы!$A$6:$A$61=$A10)*(Проходы!$F$6:$F$61=$B10)*(Проходы!$G$6:$G$61=$C10)*(Проходы!$E$6:$E$61="рабочий")*(Проходы!$S$6:$S$61-H10)^2)/(D10-1))</f>
        <v>1.13111862973641</v>
      </c>
      <c r="J10" s="12" t="n">
        <f aca="false">TINV(0.05,D10-1)*I10/SQRT(D10)</f>
        <v>2.80985444459157</v>
      </c>
      <c r="K10" s="11" t="n">
        <f aca="false">AVERAGEIFS(Проходы!$T$6:$T$61,Проходы!$A$6:$A$61,$A10,Проходы!$F$6:$F$61,$B10,Проходы!$G$6:$G$61,$C10,Проходы!$E$6:$E$61,"рабочий")</f>
        <v>0.056039424414059</v>
      </c>
      <c r="L10" s="11" t="n">
        <f aca="false">AVERAGEIFS(Проходы!$R$6:$R$61,Проходы!$A$6:$A$61,$A10,Проходы!$F$6:$F$61,$B10,Проходы!$G$6:$G$61,$C10,Проходы!$E$6:$E$61,"рабочий")</f>
        <v>0.222885</v>
      </c>
    </row>
    <row r="11" customFormat="false" ht="15" hidden="false" customHeight="false" outlineLevel="0" collapsed="false">
      <c r="A11" s="6" t="s">
        <v>272</v>
      </c>
      <c r="B11" s="6" t="n">
        <v>0.08</v>
      </c>
      <c r="C11" s="6" t="n">
        <v>2.7</v>
      </c>
      <c r="D11" s="6" t="n">
        <f aca="false">COUNTIFS(Проходы!$A$6:$A$61,$A11,Проходы!$F$6:$F$61,$B11,Проходы!$G$6:$G$61,$C11,Проходы!$E$6:$E$61,"рабочий")</f>
        <v>3</v>
      </c>
      <c r="E11" s="12" t="n">
        <f aca="false">AVERAGEIFS(Проходы!$J$6:$J$61,Проходы!$A$6:$A$61,$A11,Проходы!$F$6:$F$61,$B11,Проходы!$G$6:$G$61,$C11,Проходы!$E$6:$E$61,"рабочий")</f>
        <v>9.78343333333333</v>
      </c>
      <c r="F11" s="12" t="n">
        <f aca="false">SQRT(SUMPRODUCT((Проходы!$A$6:$A$61=$A11)*(Проходы!$F$6:$F$61=$B11)*(Проходы!$G$6:$G$61=$C11)*(Проходы!$E$6:$E$61="рабочий")*(Проходы!$J$6:$J$61-E11)^2)/(D11-1))</f>
        <v>0.20759061475253</v>
      </c>
      <c r="G11" s="12" t="n">
        <f aca="false">TINV(0.05,D11-1)*F11/SQRT(D11)</f>
        <v>0.515683674712195</v>
      </c>
      <c r="H11" s="12" t="n">
        <f aca="false">AVERAGEIFS(Проходы!$S$6:$S$61,Проходы!$A$6:$A$61,$A11,Проходы!$F$6:$F$61,$B11,Проходы!$G$6:$G$61,$C11,Проходы!$E$6:$E$61,"рабочий")</f>
        <v>29.1518137306946</v>
      </c>
      <c r="I11" s="12" t="n">
        <f aca="false">SQRT(SUMPRODUCT((Проходы!$A$6:$A$61=$A11)*(Проходы!$F$6:$F$61=$B11)*(Проходы!$G$6:$G$61=$C11)*(Проходы!$E$6:$E$61="рабочий")*(Проходы!$S$6:$S$61-H11)^2)/(D11-1))</f>
        <v>0.480270735787597</v>
      </c>
      <c r="J11" s="12" t="n">
        <f aca="false">TINV(0.05,D11-1)*I11/SQRT(D11)</f>
        <v>1.19305864662005</v>
      </c>
      <c r="K11" s="11" t="n">
        <f aca="false">AVERAGEIFS(Проходы!$T$6:$T$61,Проходы!$A$6:$A$61,$A11,Проходы!$F$6:$F$61,$B11,Проходы!$G$6:$G$61,$C11,Проходы!$E$6:$E$61,"рабочий")</f>
        <v>0.0535689467946718</v>
      </c>
      <c r="L11" s="11" t="n">
        <f aca="false">AVERAGEIFS(Проходы!$R$6:$R$61,Проходы!$A$6:$A$61,$A11,Проходы!$F$6:$F$61,$B11,Проходы!$G$6:$G$61,$C11,Проходы!$E$6:$E$61,"рабочий")</f>
        <v>0.335585866666667</v>
      </c>
    </row>
    <row r="12" customFormat="false" ht="15" hidden="false" customHeight="false" outlineLevel="0" collapsed="false">
      <c r="A12" s="6" t="s">
        <v>272</v>
      </c>
      <c r="B12" s="6" t="n">
        <v>0.08</v>
      </c>
      <c r="C12" s="6" t="n">
        <v>3.6</v>
      </c>
      <c r="D12" s="6" t="n">
        <f aca="false">COUNTIFS(Проходы!$A$6:$A$61,$A12,Проходы!$F$6:$F$61,$B12,Проходы!$G$6:$G$61,$C12,Проходы!$E$6:$E$61,"рабочий")</f>
        <v>3</v>
      </c>
      <c r="E12" s="12" t="n">
        <f aca="false">AVERAGEIFS(Проходы!$J$6:$J$61,Проходы!$A$6:$A$61,$A12,Проходы!$F$6:$F$61,$B12,Проходы!$G$6:$G$61,$C12,Проходы!$E$6:$E$61,"рабочий")</f>
        <v>11.9398333333333</v>
      </c>
      <c r="F12" s="12" t="n">
        <f aca="false">SQRT(SUMPRODUCT((Проходы!$A$6:$A$61=$A12)*(Проходы!$F$6:$F$61=$B12)*(Проходы!$G$6:$G$61=$C12)*(Проходы!$E$6:$E$61="рабочий")*(Проходы!$J$6:$J$61-E12)^2)/(D12-1))</f>
        <v>0.22982737724939</v>
      </c>
      <c r="G12" s="12" t="n">
        <f aca="false">TINV(0.05,D12-1)*F12/SQRT(D12)</f>
        <v>0.570922855017881</v>
      </c>
      <c r="H12" s="12" t="n">
        <f aca="false">AVERAGEIFS(Проходы!$S$6:$S$61,Проходы!$A$6:$A$61,$A12,Проходы!$F$6:$F$61,$B12,Проходы!$G$6:$G$61,$C12,Проходы!$E$6:$E$61,"рабочий")</f>
        <v>26.7202535917403</v>
      </c>
      <c r="I12" s="12" t="n">
        <f aca="false">SQRT(SUMPRODUCT((Проходы!$A$6:$A$61=$A12)*(Проходы!$F$6:$F$61=$B12)*(Проходы!$G$6:$G$61=$C12)*(Проходы!$E$6:$E$61="рабочий")*(Проходы!$S$6:$S$61-H12)^2)/(D12-1))</f>
        <v>0.475276980890705</v>
      </c>
      <c r="J12" s="12" t="n">
        <f aca="false">TINV(0.05,D12-1)*I12/SQRT(D12)</f>
        <v>1.18065347175744</v>
      </c>
      <c r="K12" s="11" t="n">
        <f aca="false">AVERAGEIFS(Проходы!$T$6:$T$61,Проходы!$A$6:$A$61,$A12,Проходы!$F$6:$F$61,$B12,Проходы!$G$6:$G$61,$C12,Проходы!$E$6:$E$61,"рабочий")</f>
        <v>0.0544880065820896</v>
      </c>
      <c r="L12" s="11" t="n">
        <f aca="false">AVERAGEIFS(Проходы!$R$6:$R$61,Проходы!$A$6:$A$61,$A12,Проходы!$F$6:$F$61,$B12,Проходы!$G$6:$G$61,$C12,Проходы!$E$6:$E$61,"рабочий")</f>
        <v>0.446840633333333</v>
      </c>
    </row>
    <row r="13" customFormat="false" ht="15" hidden="false" customHeight="false" outlineLevel="0" collapsed="false">
      <c r="A13" s="6" t="s">
        <v>272</v>
      </c>
      <c r="B13" s="6" t="n">
        <v>0.12</v>
      </c>
      <c r="C13" s="6" t="n">
        <v>1.8</v>
      </c>
      <c r="D13" s="6" t="n">
        <f aca="false">COUNTIFS(Проходы!$A$6:$A$61,$A13,Проходы!$F$6:$F$61,$B13,Проходы!$G$6:$G$61,$C13,Проходы!$E$6:$E$61,"рабочий")</f>
        <v>3</v>
      </c>
      <c r="E13" s="12" t="n">
        <f aca="false">AVERAGEIFS(Проходы!$J$6:$J$61,Проходы!$A$6:$A$61,$A13,Проходы!$F$6:$F$61,$B13,Проходы!$G$6:$G$61,$C13,Проходы!$E$6:$E$61,"рабочий")</f>
        <v>9.93376666666667</v>
      </c>
      <c r="F13" s="12" t="n">
        <f aca="false">SQRT(SUMPRODUCT((Проходы!$A$6:$A$61=$A13)*(Проходы!$F$6:$F$61=$B13)*(Проходы!$G$6:$G$61=$C13)*(Проходы!$E$6:$E$61="рабочий")*(Проходы!$J$6:$J$61-E13)^2)/(D13-1))</f>
        <v>0.0482763226989521</v>
      </c>
      <c r="G13" s="12" t="n">
        <f aca="false">TINV(0.05,D13-1)*F13/SQRT(D13)</f>
        <v>0.119925033801096</v>
      </c>
      <c r="H13" s="12" t="n">
        <f aca="false">AVERAGEIFS(Проходы!$S$6:$S$61,Проходы!$A$6:$A$61,$A13,Проходы!$F$6:$F$61,$B13,Проходы!$G$6:$G$61,$C13,Проходы!$E$6:$E$61,"рабочий")</f>
        <v>44.3812340420426</v>
      </c>
      <c r="I13" s="12" t="n">
        <f aca="false">SQRT(SUMPRODUCT((Проходы!$A$6:$A$61=$A13)*(Проходы!$F$6:$F$61=$B13)*(Проходы!$G$6:$G$61=$C13)*(Проходы!$E$6:$E$61="рабочий")*(Проходы!$S$6:$S$61-H13)^2)/(D13-1))</f>
        <v>0.40078880958288</v>
      </c>
      <c r="J13" s="12" t="n">
        <f aca="false">TINV(0.05,D13-1)*I13/SQRT(D13)</f>
        <v>0.995614596332355</v>
      </c>
      <c r="K13" s="11" t="n">
        <f aca="false">AVERAGEIFS(Проходы!$T$6:$T$61,Проходы!$A$6:$A$61,$A13,Проходы!$F$6:$F$61,$B13,Проходы!$G$6:$G$61,$C13,Проходы!$E$6:$E$61,"рабочий")</f>
        <v>0.0549410115269198</v>
      </c>
      <c r="L13" s="11" t="n">
        <f aca="false">AVERAGEIFS(Проходы!$R$6:$R$61,Проходы!$A$6:$A$61,$A13,Проходы!$F$6:$F$61,$B13,Проходы!$G$6:$G$61,$C13,Проходы!$E$6:$E$61,"рабочий")</f>
        <v>0.223833866666667</v>
      </c>
    </row>
    <row r="14" customFormat="false" ht="15" hidden="false" customHeight="false" outlineLevel="0" collapsed="false">
      <c r="A14" s="6" t="s">
        <v>272</v>
      </c>
      <c r="B14" s="6" t="n">
        <v>0.12</v>
      </c>
      <c r="C14" s="6" t="n">
        <v>2.7</v>
      </c>
      <c r="D14" s="6" t="n">
        <f aca="false">COUNTIFS(Проходы!$A$6:$A$61,$A14,Проходы!$F$6:$F$61,$B14,Проходы!$G$6:$G$61,$C14,Проходы!$E$6:$E$61,"рабочий")</f>
        <v>3</v>
      </c>
      <c r="E14" s="12" t="n">
        <f aca="false">AVERAGEIFS(Проходы!$J$6:$J$61,Проходы!$A$6:$A$61,$A14,Проходы!$F$6:$F$61,$B14,Проходы!$G$6:$G$61,$C14,Проходы!$E$6:$E$61,"рабочий")</f>
        <v>13.1602666666667</v>
      </c>
      <c r="F14" s="12" t="n">
        <f aca="false">SQRT(SUMPRODUCT((Проходы!$A$6:$A$61=$A14)*(Проходы!$F$6:$F$61=$B14)*(Проходы!$G$6:$G$61=$C14)*(Проходы!$E$6:$E$61="рабочий")*(Проходы!$J$6:$J$61-E14)^2)/(D14-1))</f>
        <v>0.383664076156908</v>
      </c>
      <c r="G14" s="12" t="n">
        <f aca="false">TINV(0.05,D14-1)*F14/SQRT(D14)</f>
        <v>0.953074400225225</v>
      </c>
      <c r="H14" s="12" t="n">
        <f aca="false">AVERAGEIFS(Проходы!$S$6:$S$61,Проходы!$A$6:$A$61,$A14,Проходы!$F$6:$F$61,$B14,Проходы!$G$6:$G$61,$C14,Проходы!$E$6:$E$61,"рабочий")</f>
        <v>39.380689283364</v>
      </c>
      <c r="I14" s="12" t="n">
        <f aca="false">SQRT(SUMPRODUCT((Проходы!$A$6:$A$61=$A14)*(Проходы!$F$6:$F$61=$B14)*(Проходы!$G$6:$G$61=$C14)*(Проходы!$E$6:$E$61="рабочий")*(Проходы!$S$6:$S$61-H14)^2)/(D14-1))</f>
        <v>1.05790593142087</v>
      </c>
      <c r="J14" s="12" t="n">
        <f aca="false">TINV(0.05,D14-1)*I14/SQRT(D14)</f>
        <v>2.62798401972695</v>
      </c>
      <c r="K14" s="11" t="n">
        <f aca="false">AVERAGEIFS(Проходы!$T$6:$T$61,Проходы!$A$6:$A$61,$A14,Проходы!$F$6:$F$61,$B14,Проходы!$G$6:$G$61,$C14,Проходы!$E$6:$E$61,"рабочий")</f>
        <v>0.0526030806523005</v>
      </c>
      <c r="L14" s="11" t="n">
        <f aca="false">AVERAGEIFS(Проходы!$R$6:$R$61,Проходы!$A$6:$A$61,$A14,Проходы!$F$6:$F$61,$B14,Проходы!$G$6:$G$61,$C14,Проходы!$E$6:$E$61,"рабочий")</f>
        <v>0.3341694</v>
      </c>
    </row>
    <row r="15" customFormat="false" ht="15" hidden="false" customHeight="false" outlineLevel="0" collapsed="false">
      <c r="A15" s="6" t="s">
        <v>272</v>
      </c>
      <c r="B15" s="6" t="n">
        <v>0.12</v>
      </c>
      <c r="C15" s="6" t="n">
        <v>3.6</v>
      </c>
      <c r="D15" s="6" t="n">
        <f aca="false">COUNTIFS(Проходы!$A$6:$A$61,$A15,Проходы!$F$6:$F$61,$B15,Проходы!$G$6:$G$61,$C15,Проходы!$E$6:$E$61,"рабочий")</f>
        <v>3</v>
      </c>
      <c r="E15" s="12" t="n">
        <f aca="false">AVERAGEIFS(Проходы!$J$6:$J$61,Проходы!$A$6:$A$61,$A15,Проходы!$F$6:$F$61,$B15,Проходы!$G$6:$G$61,$C15,Проходы!$E$6:$E$61,"рабочий")</f>
        <v>16.4844333333333</v>
      </c>
      <c r="F15" s="12" t="n">
        <f aca="false">SQRT(SUMPRODUCT((Проходы!$A$6:$A$61=$A15)*(Проходы!$F$6:$F$61=$B15)*(Проходы!$G$6:$G$61=$C15)*(Проходы!$E$6:$E$61="рабочий")*(Проходы!$J$6:$J$61-E15)^2)/(D15-1))</f>
        <v>0.17284548976856</v>
      </c>
      <c r="G15" s="12" t="n">
        <f aca="false">TINV(0.05,D15-1)*F15/SQRT(D15)</f>
        <v>0.429371999440036</v>
      </c>
      <c r="H15" s="12" t="n">
        <f aca="false">AVERAGEIFS(Проходы!$S$6:$S$61,Проходы!$A$6:$A$61,$A15,Проходы!$F$6:$F$61,$B15,Проходы!$G$6:$G$61,$C15,Проходы!$E$6:$E$61,"рабочий")</f>
        <v>36.4976336963532</v>
      </c>
      <c r="I15" s="12" t="n">
        <f aca="false">SQRT(SUMPRODUCT((Проходы!$A$6:$A$61=$A15)*(Проходы!$F$6:$F$61=$B15)*(Проходы!$G$6:$G$61=$C15)*(Проходы!$E$6:$E$61="рабочий")*(Проходы!$S$6:$S$61-H15)^2)/(D15-1))</f>
        <v>0.576558545342805</v>
      </c>
      <c r="J15" s="12" t="n">
        <f aca="false">TINV(0.05,D15-1)*I15/SQRT(D15)</f>
        <v>1.43225082551798</v>
      </c>
      <c r="K15" s="11" t="n">
        <f aca="false">AVERAGEIFS(Проходы!$T$6:$T$61,Проходы!$A$6:$A$61,$A15,Проходы!$F$6:$F$61,$B15,Проходы!$G$6:$G$61,$C15,Проходы!$E$6:$E$61,"рабочий")</f>
        <v>0.0473003335057753</v>
      </c>
      <c r="L15" s="11" t="n">
        <f aca="false">AVERAGEIFS(Проходы!$R$6:$R$61,Проходы!$A$6:$A$61,$A15,Проходы!$F$6:$F$61,$B15,Проходы!$G$6:$G$61,$C15,Проходы!$E$6:$E$61,"рабочий")</f>
        <v>0.451705</v>
      </c>
    </row>
    <row r="16" customFormat="false" ht="15" hidden="false" customHeight="false" outlineLevel="0" collapsed="false">
      <c r="A16" s="6" t="s">
        <v>272</v>
      </c>
      <c r="B16" s="6" t="n">
        <v>0.16</v>
      </c>
      <c r="C16" s="6" t="n">
        <v>1.8</v>
      </c>
      <c r="D16" s="6" t="n">
        <f aca="false">COUNTIFS(Проходы!$A$6:$A$61,$A16,Проходы!$F$6:$F$61,$B16,Проходы!$G$6:$G$61,$C16,Проходы!$E$6:$E$61,"рабочий")</f>
        <v>3</v>
      </c>
      <c r="E16" s="12" t="n">
        <f aca="false">AVERAGEIFS(Проходы!$J$6:$J$61,Проходы!$A$6:$A$61,$A16,Проходы!$F$6:$F$61,$B16,Проходы!$G$6:$G$61,$C16,Проходы!$E$6:$E$61,"рабочий")</f>
        <v>12.5186333333333</v>
      </c>
      <c r="F16" s="12" t="n">
        <f aca="false">SQRT(SUMPRODUCT((Проходы!$A$6:$A$61=$A16)*(Проходы!$F$6:$F$61=$B16)*(Проходы!$G$6:$G$61=$C16)*(Проходы!$E$6:$E$61="рабочий")*(Проходы!$J$6:$J$61-E16)^2)/(D16-1))</f>
        <v>0.0828108889780404</v>
      </c>
      <c r="G16" s="12" t="n">
        <f aca="false">TINV(0.05,D16-1)*F16/SQRT(D16)</f>
        <v>0.20571365225392</v>
      </c>
      <c r="H16" s="12" t="n">
        <f aca="false">AVERAGEIFS(Проходы!$S$6:$S$61,Проходы!$A$6:$A$61,$A16,Проходы!$F$6:$F$61,$B16,Проходы!$G$6:$G$61,$C16,Проходы!$E$6:$E$61,"рабочий")</f>
        <v>56.0175703163271</v>
      </c>
      <c r="I16" s="12" t="n">
        <f aca="false">SQRT(SUMPRODUCT((Проходы!$A$6:$A$61=$A16)*(Проходы!$F$6:$F$61=$B16)*(Проходы!$G$6:$G$61=$C16)*(Проходы!$E$6:$E$61="рабочий")*(Проходы!$S$6:$S$61-H16)^2)/(D16-1))</f>
        <v>0.478293946096196</v>
      </c>
      <c r="J16" s="12" t="n">
        <f aca="false">TINV(0.05,D16-1)*I16/SQRT(D16)</f>
        <v>1.18814802879944</v>
      </c>
      <c r="K16" s="11" t="n">
        <f aca="false">AVERAGEIFS(Проходы!$T$6:$T$61,Проходы!$A$6:$A$61,$A16,Проходы!$F$6:$F$61,$B16,Проходы!$G$6:$G$61,$C16,Проходы!$E$6:$E$61,"рабочий")</f>
        <v>0.0518257830361423</v>
      </c>
      <c r="L16" s="11" t="n">
        <f aca="false">AVERAGEIFS(Проходы!$R$6:$R$61,Проходы!$A$6:$A$61,$A16,Проходы!$F$6:$F$61,$B16,Проходы!$G$6:$G$61,$C16,Проходы!$E$6:$E$61,"рабочий")</f>
        <v>0.2234815</v>
      </c>
    </row>
    <row r="17" customFormat="false" ht="15" hidden="false" customHeight="false" outlineLevel="0" collapsed="false">
      <c r="A17" s="6" t="s">
        <v>272</v>
      </c>
      <c r="B17" s="6" t="n">
        <v>0.16</v>
      </c>
      <c r="C17" s="6" t="n">
        <v>2.7</v>
      </c>
      <c r="D17" s="6" t="n">
        <f aca="false">COUNTIFS(Проходы!$A$6:$A$61,$A17,Проходы!$F$6:$F$61,$B17,Проходы!$G$6:$G$61,$C17,Проходы!$E$6:$E$61,"рабочий")</f>
        <v>3</v>
      </c>
      <c r="E17" s="12" t="n">
        <f aca="false">AVERAGEIFS(Проходы!$J$6:$J$61,Проходы!$A$6:$A$61,$A17,Проходы!$F$6:$F$61,$B17,Проходы!$G$6:$G$61,$C17,Проходы!$E$6:$E$61,"рабочий")</f>
        <v>16.2669666666667</v>
      </c>
      <c r="F17" s="12" t="n">
        <f aca="false">SQRT(SUMPRODUCT((Проходы!$A$6:$A$61=$A17)*(Проходы!$F$6:$F$61=$B17)*(Проходы!$G$6:$G$61=$C17)*(Проходы!$E$6:$E$61="рабочий")*(Проходы!$J$6:$J$61-E17)^2)/(D17-1))</f>
        <v>0.0685251292106286</v>
      </c>
      <c r="G17" s="12" t="n">
        <f aca="false">TINV(0.05,D17-1)*F17/SQRT(D17)</f>
        <v>0.170225857674687</v>
      </c>
      <c r="H17" s="12" t="n">
        <f aca="false">AVERAGEIFS(Проходы!$S$6:$S$61,Проходы!$A$6:$A$61,$A17,Проходы!$F$6:$F$61,$B17,Проходы!$G$6:$G$61,$C17,Проходы!$E$6:$E$61,"рабочий")</f>
        <v>48.3618588929621</v>
      </c>
      <c r="I17" s="12" t="n">
        <f aca="false">SQRT(SUMPRODUCT((Проходы!$A$6:$A$61=$A17)*(Проходы!$F$6:$F$61=$B17)*(Проходы!$G$6:$G$61=$C17)*(Проходы!$E$6:$E$61="рабочий")*(Проходы!$S$6:$S$61-H17)^2)/(D17-1))</f>
        <v>0.426296227905417</v>
      </c>
      <c r="J17" s="12" t="n">
        <f aca="false">TINV(0.05,D17-1)*I17/SQRT(D17)</f>
        <v>1.05897853611676</v>
      </c>
      <c r="K17" s="11" t="n">
        <f aca="false">AVERAGEIFS(Проходы!$T$6:$T$61,Проходы!$A$6:$A$61,$A17,Проходы!$F$6:$F$61,$B17,Проходы!$G$6:$G$61,$C17,Проходы!$E$6:$E$61,"рабочий")</f>
        <v>0.0504690206642163</v>
      </c>
      <c r="L17" s="11" t="n">
        <f aca="false">AVERAGEIFS(Проходы!$R$6:$R$61,Проходы!$A$6:$A$61,$A17,Проходы!$F$6:$F$61,$B17,Проходы!$G$6:$G$61,$C17,Проходы!$E$6:$E$61,"рабочий")</f>
        <v>0.33638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17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1" min="2" style="0" width="10"/>
  </cols>
  <sheetData>
    <row r="1" customFormat="false" ht="45" hidden="false" customHeight="true" outlineLevel="0" collapsed="false">
      <c r="A1" s="4" t="s">
        <v>239</v>
      </c>
      <c r="B1" s="4" t="s">
        <v>252</v>
      </c>
      <c r="C1" s="4" t="s">
        <v>251</v>
      </c>
      <c r="D1" s="4" t="s">
        <v>254</v>
      </c>
      <c r="E1" s="4" t="s">
        <v>336</v>
      </c>
      <c r="F1" s="4" t="s">
        <v>337</v>
      </c>
      <c r="G1" s="4" t="s">
        <v>262</v>
      </c>
      <c r="H1" s="4" t="s">
        <v>338</v>
      </c>
      <c r="I1" s="4" t="s">
        <v>339</v>
      </c>
      <c r="J1" s="4" t="s">
        <v>340</v>
      </c>
      <c r="K1" s="4" t="s">
        <v>341</v>
      </c>
      <c r="L1" s="4" t="s">
        <v>342</v>
      </c>
      <c r="M1" s="4" t="s">
        <v>343</v>
      </c>
      <c r="N1" s="4" t="s">
        <v>344</v>
      </c>
      <c r="O1" s="4" t="s">
        <v>345</v>
      </c>
      <c r="P1" s="4" t="s">
        <v>346</v>
      </c>
      <c r="Q1" s="4" t="s">
        <v>347</v>
      </c>
      <c r="R1" s="4" t="s">
        <v>348</v>
      </c>
      <c r="S1" s="4" t="s">
        <v>349</v>
      </c>
      <c r="T1" s="4" t="s">
        <v>350</v>
      </c>
      <c r="U1" s="4" t="s">
        <v>351</v>
      </c>
    </row>
    <row r="2" customFormat="false" ht="15" hidden="false" customHeight="false" outlineLevel="0" collapsed="false">
      <c r="A2" s="17" t="str">
        <f aca="false">Опыт_режимы!A2</f>
        <v>культиватор</v>
      </c>
      <c r="B2" s="17" t="n">
        <f aca="false">Опыт_режимы!B2</f>
        <v>0.08</v>
      </c>
      <c r="C2" s="17" t="n">
        <f aca="false">Опыт_режимы!C2</f>
        <v>3.6</v>
      </c>
      <c r="D2" s="6" t="n">
        <f aca="false">IF(A2="культиватор",1.2,1.25)</f>
        <v>1.2</v>
      </c>
      <c r="E2" s="11" t="n">
        <f aca="false">C2/3.6</f>
        <v>1</v>
      </c>
      <c r="F2" s="13" t="str">
        <f aca="false">IF(A2="культиватор","",A_0+A_v*C2+A_a*B2)</f>
        <v/>
      </c>
      <c r="G2" s="14" t="n">
        <f aca="false">IF(A2="культиватор",D2*B2*(k_0+eps*E2^2),"")</f>
        <v>3311.11931255956</v>
      </c>
      <c r="H2" s="11" t="n">
        <f aca="false">IF(A2="культиватор",G2/(m_ET*g),"")</f>
        <v>0.259634541877171</v>
      </c>
      <c r="I2" s="11" t="n">
        <f aca="false">IF(A2="культиватор",delta_0-LN(1-H2/phi_max)/k_slip,slip_till)</f>
        <v>0.112085588444346</v>
      </c>
      <c r="J2" s="11" t="n">
        <f aca="false">IF(A2="культиватор",G2/(m_D*g),"")</f>
        <v>0.29607447757923</v>
      </c>
      <c r="K2" s="11" t="n">
        <f aca="false">IF(A2="культиватор",delta_0-LN(1-J2/phi_max)/k_slip,slip_till)</f>
        <v>0.122602312135218</v>
      </c>
      <c r="L2" s="12" t="n">
        <f aca="false">IF(A2="культиватор",P_aux+M2/eta_ep,P_aux+c_move*E2/(1-slip_till)+P_rot0+F2*D2*B2*E2)</f>
        <v>7.55695056233789</v>
      </c>
      <c r="M2" s="12" t="n">
        <f aca="false">IF(A2="культиватор",(G2+f_roll*m_ET*g)*E2/(1-I2)/eta_tr/1000,eta_ep*(L2-P_aux))</f>
        <v>6.49171649485734</v>
      </c>
      <c r="N2" s="12" t="n">
        <f aca="false">IF(A2="культиватор",(G2+f_roll*m_D*g)*E2/(1-K2)/eta_tr/1000,eta_ep*(c_move*E2/(1-slip_till)*m_D/m_ET+P_rot0+F2*D2*B2*E2))+P_hyd_idle_D</f>
        <v>6.43877420680655</v>
      </c>
      <c r="O2" s="18" t="n">
        <f aca="false">1-L2*(1+2*cv_P)/P_el_lim</f>
        <v>0.54017639948585</v>
      </c>
      <c r="P2" s="18" t="n">
        <f aca="false">1-N2*(1+2*cv_P)/P_pto_nom</f>
        <v>0.585975931686047</v>
      </c>
      <c r="Q2" s="19" t="b">
        <f aca="false">AND(O2&gt;=0,I2&lt;=slip_max)</f>
        <v>1</v>
      </c>
      <c r="R2" s="19" t="b">
        <f aca="false">AND(P2&gt;=0,K2&lt;=slip_max)</f>
        <v>1</v>
      </c>
      <c r="S2" s="19" t="b">
        <f aca="false">AND(Q2,M2&lt;=P_mot_1h)</f>
        <v>1</v>
      </c>
      <c r="T2" s="12" t="n">
        <f aca="false">k_D*(sfc_a*N2+sfc_b*P_pto_nom)</f>
        <v>3.00629032549744</v>
      </c>
      <c r="U2" s="12" t="n">
        <f aca="false">N2/P_pto_nom</f>
        <v>0.388814867560782</v>
      </c>
    </row>
    <row r="3" customFormat="false" ht="15" hidden="false" customHeight="false" outlineLevel="0" collapsed="false">
      <c r="A3" s="17" t="str">
        <f aca="false">Опыт_режимы!A3</f>
        <v>культиватор</v>
      </c>
      <c r="B3" s="17" t="n">
        <f aca="false">Опыт_режимы!B3</f>
        <v>0.08</v>
      </c>
      <c r="C3" s="17" t="n">
        <f aca="false">Опыт_режимы!C3</f>
        <v>4.5</v>
      </c>
      <c r="D3" s="6" t="n">
        <f aca="false">IF(A3="культиватор",1.2,1.25)</f>
        <v>1.2</v>
      </c>
      <c r="E3" s="11" t="n">
        <f aca="false">C3/3.6</f>
        <v>1.25</v>
      </c>
      <c r="F3" s="13" t="str">
        <f aca="false">IF(A3="культиватор","",A_0+A_v*C3+A_a*B3)</f>
        <v/>
      </c>
      <c r="G3" s="14" t="n">
        <f aca="false">IF(A3="культиватор",D3*B3*(k_0+eps*E3^2),"")</f>
        <v>3409.68359146153</v>
      </c>
      <c r="H3" s="11" t="n">
        <f aca="false">IF(A3="культиватор",G3/(m_ET*g),"")</f>
        <v>0.267363255035014</v>
      </c>
      <c r="I3" s="11" t="n">
        <f aca="false">IF(A3="культиватор",delta_0-LN(1-H3/phi_max)/k_slip,slip_till)</f>
        <v>0.114233482719693</v>
      </c>
      <c r="J3" s="11" t="n">
        <f aca="false">IF(A3="культиватор",G3/(m_D*g),"")</f>
        <v>0.304887922408349</v>
      </c>
      <c r="K3" s="11" t="n">
        <f aca="false">IF(A3="культиватор",delta_0-LN(1-J3/phi_max)/k_slip,slip_till)</f>
        <v>0.125304749205275</v>
      </c>
      <c r="L3" s="12" t="n">
        <f aca="false">IF(A3="культиватор",P_aux+M3/eta_ep,P_aux+c_move*E3/(1-slip_till)+P_rot0+F3*D3*B3*E3)</f>
        <v>9.60316462645569</v>
      </c>
      <c r="M3" s="12" t="n">
        <f aca="false">IF(A3="культиватор",(G3+f_roll*m_ET*g)*E3/(1-I3)/eta_tr/1000,eta_ep*(L3-P_aux))</f>
        <v>8.29238487128101</v>
      </c>
      <c r="N3" s="12" t="n">
        <f aca="false">IF(A3="культиватор",(G3+f_roll*m_D*g)*E3/(1-K3)/eta_tr/1000,eta_ep*(c_move*E3/(1-slip_till)*m_D/m_ET+P_rot0+F3*D3*B3*E3))+P_hyd_idle_D</f>
        <v>8.19531750605325</v>
      </c>
      <c r="O3" s="18" t="n">
        <f aca="false">1-L3*(1+2*cv_P)/P_el_lim</f>
        <v>0.415668833818481</v>
      </c>
      <c r="P3" s="18" t="n">
        <f aca="false">1-N3*(1+2*cv_P)/P_pto_nom</f>
        <v>0.473027227543737</v>
      </c>
      <c r="Q3" s="19" t="b">
        <f aca="false">AND(O3&gt;=0,I3&lt;=slip_max)</f>
        <v>1</v>
      </c>
      <c r="R3" s="19" t="b">
        <f aca="false">AND(P3&gt;=0,K3&lt;=slip_max)</f>
        <v>1</v>
      </c>
      <c r="S3" s="19" t="b">
        <f aca="false">AND(Q3,M3&lt;=P_mot_1h)</f>
        <v>1</v>
      </c>
      <c r="T3" s="12" t="n">
        <f aca="false">k_D*(sfc_a*N3+sfc_b*P_pto_nom)</f>
        <v>3.39272985133171</v>
      </c>
      <c r="U3" s="12" t="n">
        <f aca="false">N3/P_pto_nom</f>
        <v>0.494886322829303</v>
      </c>
    </row>
    <row r="4" customFormat="false" ht="15" hidden="false" customHeight="false" outlineLevel="0" collapsed="false">
      <c r="A4" s="17" t="str">
        <f aca="false">Опыт_режимы!A4</f>
        <v>культиватор</v>
      </c>
      <c r="B4" s="17" t="n">
        <f aca="false">Опыт_режимы!B4</f>
        <v>0.08</v>
      </c>
      <c r="C4" s="17" t="n">
        <f aca="false">Опыт_режимы!C4</f>
        <v>5.4</v>
      </c>
      <c r="D4" s="6" t="n">
        <f aca="false">IF(A4="культиватор",1.2,1.25)</f>
        <v>1.2</v>
      </c>
      <c r="E4" s="11" t="n">
        <f aca="false">C4/3.6</f>
        <v>1.5</v>
      </c>
      <c r="F4" s="13" t="str">
        <f aca="false">IF(A4="культиватор","",A_0+A_v*C4+A_a*B4)</f>
        <v/>
      </c>
      <c r="G4" s="14" t="n">
        <f aca="false">IF(A4="культиватор",D4*B4*(k_0+eps*E4^2),"")</f>
        <v>3530.15104345284</v>
      </c>
      <c r="H4" s="11" t="n">
        <f aca="false">IF(A4="культиватор",G4/(m_ET*g),"")</f>
        <v>0.276809460005711</v>
      </c>
      <c r="I4" s="11" t="n">
        <f aca="false">IF(A4="культиватор",delta_0-LN(1-H4/phi_max)/k_slip,slip_till)</f>
        <v>0.116917080898809</v>
      </c>
      <c r="J4" s="11" t="n">
        <f aca="false">IF(A4="культиватор",G4/(m_D*g),"")</f>
        <v>0.315659910532829</v>
      </c>
      <c r="K4" s="11" t="n">
        <f aca="false">IF(A4="культиватор",delta_0-LN(1-J4/phi_max)/k_slip,slip_till)</f>
        <v>0.128700721161133</v>
      </c>
      <c r="L4" s="12" t="n">
        <f aca="false">IF(A4="культиватор",P_aux+M4/eta_ep,P_aux+c_move*E4/(1-slip_till)+P_rot0+F4*D4*B4*E4)</f>
        <v>11.7863981050195</v>
      </c>
      <c r="M4" s="12" t="n">
        <f aca="false">IF(A4="культиватор",(G4+f_roll*m_ET*g)*E4/(1-I4)/eta_tr/1000,eta_ep*(L4-P_aux))</f>
        <v>10.2136303324172</v>
      </c>
      <c r="N4" s="12" t="n">
        <f aca="false">IF(A4="культиватор",(G4+f_roll*m_D*g)*E4/(1-K4)/eta_tr/1000,eta_ep*(c_move*E4/(1-slip_till)*m_D/m_ET+P_rot0+F4*D4*B4*E4))+P_hyd_idle_D</f>
        <v>10.077683488567</v>
      </c>
      <c r="O4" s="18" t="n">
        <f aca="false">1-L4*(1+2*cv_P)/P_el_lim</f>
        <v>0.282823942139624</v>
      </c>
      <c r="P4" s="18" t="n">
        <f aca="false">1-N4*(1+2*cv_P)/P_pto_nom</f>
        <v>0.351987912123686</v>
      </c>
      <c r="Q4" s="19" t="b">
        <f aca="false">AND(O4&gt;=0,I4&lt;=slip_max)</f>
        <v>1</v>
      </c>
      <c r="R4" s="19" t="b">
        <f aca="false">AND(P4&gt;=0,K4&lt;=slip_max)</f>
        <v>1</v>
      </c>
      <c r="S4" s="19" t="b">
        <f aca="false">AND(Q4,M4&lt;=P_mot_1h)</f>
        <v>1</v>
      </c>
      <c r="T4" s="12" t="n">
        <f aca="false">k_D*(sfc_a*N4+sfc_b*P_pto_nom)</f>
        <v>3.80685036748474</v>
      </c>
      <c r="U4" s="12" t="n">
        <f aca="false">N4/P_pto_nom</f>
        <v>0.608555766217816</v>
      </c>
    </row>
    <row r="5" customFormat="false" ht="15" hidden="false" customHeight="false" outlineLevel="0" collapsed="false">
      <c r="A5" s="17" t="str">
        <f aca="false">Опыт_режимы!A5</f>
        <v>культиватор</v>
      </c>
      <c r="B5" s="17" t="n">
        <f aca="false">Опыт_режимы!B5</f>
        <v>0.11</v>
      </c>
      <c r="C5" s="17" t="n">
        <f aca="false">Опыт_режимы!C5</f>
        <v>3.6</v>
      </c>
      <c r="D5" s="6" t="n">
        <f aca="false">IF(A5="культиватор",1.2,1.25)</f>
        <v>1.2</v>
      </c>
      <c r="E5" s="11" t="n">
        <f aca="false">C5/3.6</f>
        <v>1</v>
      </c>
      <c r="F5" s="13" t="str">
        <f aca="false">IF(A5="культиватор","",A_0+A_v*C5+A_a*B5)</f>
        <v/>
      </c>
      <c r="G5" s="14" t="n">
        <f aca="false">IF(A5="культиватор",D5*B5*(k_0+eps*E5^2),"")</f>
        <v>4552.7890547694</v>
      </c>
      <c r="H5" s="11" t="n">
        <f aca="false">IF(A5="культиватор",G5/(m_ET*g),"")</f>
        <v>0.35699749508111</v>
      </c>
      <c r="I5" s="11" t="n">
        <f aca="false">IF(A5="культиватор",delta_0-LN(1-H5/phi_max)/k_slip,slip_till)</f>
        <v>0.142805080846827</v>
      </c>
      <c r="J5" s="11" t="n">
        <f aca="false">IF(A5="культиватор",G5/(m_D*g),"")</f>
        <v>0.407102406671441</v>
      </c>
      <c r="K5" s="11" t="n">
        <f aca="false">IF(A5="культиватор",delta_0-LN(1-J5/phi_max)/k_slip,slip_till)</f>
        <v>0.162755970475233</v>
      </c>
      <c r="L5" s="12" t="n">
        <f aca="false">IF(A5="культиватор",P_aux+M5/eta_ep,P_aux+c_move*E5/(1-slip_till)+P_rot0+F5*D5*B5*E5)</f>
        <v>9.69183491671186</v>
      </c>
      <c r="M5" s="12" t="n">
        <f aca="false">IF(A5="культиватор",(G5+f_roll*m_ET*g)*E5/(1-I5)/eta_tr/1000,eta_ep*(L5-P_aux))</f>
        <v>8.37041472670643</v>
      </c>
      <c r="N5" s="12" t="n">
        <f aca="false">IF(A5="культиватор",(G5+f_roll*m_D*g)*E5/(1-K5)/eta_tr/1000,eta_ep*(c_move*E5/(1-slip_till)*m_D/m_ET+P_rot0+F5*D5*B5*E5))+P_hyd_idle_D</f>
        <v>8.42565685467936</v>
      </c>
      <c r="O5" s="18" t="n">
        <f aca="false">1-L5*(1+2*cv_P)/P_el_lim</f>
        <v>0.410273444264469</v>
      </c>
      <c r="P5" s="18" t="n">
        <f aca="false">1-N5*(1+2*cv_P)/P_pto_nom</f>
        <v>0.458216017964411</v>
      </c>
      <c r="Q5" s="19" t="b">
        <f aca="false">AND(O5&gt;=0,I5&lt;=slip_max)</f>
        <v>1</v>
      </c>
      <c r="R5" s="19" t="b">
        <f aca="false">AND(P5&gt;=0,K5&lt;=slip_max)</f>
        <v>1</v>
      </c>
      <c r="S5" s="19" t="b">
        <f aca="false">AND(Q5,M5&lt;=P_mot_1h)</f>
        <v>1</v>
      </c>
      <c r="T5" s="12" t="n">
        <f aca="false">k_D*(sfc_a*N5+sfc_b*P_pto_nom)</f>
        <v>3.44340450802946</v>
      </c>
      <c r="U5" s="12" t="n">
        <f aca="false">N5/P_pto_nom</f>
        <v>0.508795703784986</v>
      </c>
    </row>
    <row r="6" customFormat="false" ht="15" hidden="false" customHeight="false" outlineLevel="0" collapsed="false">
      <c r="A6" s="17" t="str">
        <f aca="false">Опыт_режимы!A6</f>
        <v>культиватор</v>
      </c>
      <c r="B6" s="17" t="n">
        <f aca="false">Опыт_режимы!B6</f>
        <v>0.11</v>
      </c>
      <c r="C6" s="17" t="n">
        <f aca="false">Опыт_режимы!C6</f>
        <v>4.5</v>
      </c>
      <c r="D6" s="6" t="n">
        <f aca="false">IF(A6="культиватор",1.2,1.25)</f>
        <v>1.2</v>
      </c>
      <c r="E6" s="11" t="n">
        <f aca="false">C6/3.6</f>
        <v>1.25</v>
      </c>
      <c r="F6" s="13" t="str">
        <f aca="false">IF(A6="культиватор","",A_0+A_v*C6+A_a*B6)</f>
        <v/>
      </c>
      <c r="G6" s="14" t="n">
        <f aca="false">IF(A6="культиватор",D6*B6*(k_0+eps*E6^2),"")</f>
        <v>4688.31493825961</v>
      </c>
      <c r="H6" s="11" t="n">
        <f aca="false">IF(A6="культиватор",G6/(m_ET*g),"")</f>
        <v>0.367624475673144</v>
      </c>
      <c r="I6" s="11" t="n">
        <f aca="false">IF(A6="культиватор",delta_0-LN(1-H6/phi_max)/k_slip,slip_till)</f>
        <v>0.146744112263425</v>
      </c>
      <c r="J6" s="11" t="n">
        <f aca="false">IF(A6="культиватор",G6/(m_D*g),"")</f>
        <v>0.41922089331148</v>
      </c>
      <c r="K6" s="11" t="n">
        <f aca="false">IF(A6="культиватор",delta_0-LN(1-J6/phi_max)/k_slip,slip_till)</f>
        <v>0.168179511392717</v>
      </c>
      <c r="L6" s="12" t="n">
        <f aca="false">IF(A6="культиватор",P_aux+M6/eta_ep,P_aux+c_move*E6/(1-slip_till)+P_rot0+F6*D6*B6*E6)</f>
        <v>12.38106459213</v>
      </c>
      <c r="M6" s="12" t="n">
        <f aca="false">IF(A6="культиватор",(G6+f_roll*m_ET*g)*E6/(1-I6)/eta_tr/1000,eta_ep*(L6-P_aux))</f>
        <v>10.7369368410744</v>
      </c>
      <c r="N6" s="12" t="n">
        <f aca="false">IF(A6="культиватор",(G6+f_roll*m_D*g)*E6/(1-K6)/eta_tr/1000,eta_ep*(c_move*E6/(1-slip_till)*m_D/m_ET+P_rot0+F6*D6*B6*E6))+P_hyd_idle_D</f>
        <v>10.7934487289724</v>
      </c>
      <c r="O6" s="18" t="n">
        <f aca="false">1-L6*(1+2*cv_P)/P_el_lim</f>
        <v>0.246639811655694</v>
      </c>
      <c r="P6" s="18" t="n">
        <f aca="false">1-N6*(1+2*cv_P)/P_pto_nom</f>
        <v>0.305962996934535</v>
      </c>
      <c r="Q6" s="19" t="b">
        <f aca="false">AND(O6&gt;=0,I6&lt;=slip_max)</f>
        <v>1</v>
      </c>
      <c r="R6" s="19" t="b">
        <f aca="false">AND(P6&gt;=0,K6&lt;=slip_max)</f>
        <v>1</v>
      </c>
      <c r="S6" s="19" t="b">
        <f aca="false">AND(Q6,M6&lt;=P_mot_1h)</f>
        <v>1</v>
      </c>
      <c r="T6" s="12" t="n">
        <f aca="false">k_D*(sfc_a*N6+sfc_b*P_pto_nom)</f>
        <v>3.96431872037394</v>
      </c>
      <c r="U6" s="12" t="n">
        <f aca="false">N6/P_pto_nom</f>
        <v>0.651778304889641</v>
      </c>
    </row>
    <row r="7" customFormat="false" ht="15" hidden="false" customHeight="false" outlineLevel="0" collapsed="false">
      <c r="A7" s="17" t="str">
        <f aca="false">Опыт_режимы!A7</f>
        <v>культиватор</v>
      </c>
      <c r="B7" s="17" t="n">
        <f aca="false">Опыт_режимы!B7</f>
        <v>0.11</v>
      </c>
      <c r="C7" s="17" t="n">
        <f aca="false">Опыт_режимы!C7</f>
        <v>5.4</v>
      </c>
      <c r="D7" s="6" t="n">
        <f aca="false">IF(A7="культиватор",1.2,1.25)</f>
        <v>1.2</v>
      </c>
      <c r="E7" s="11" t="n">
        <f aca="false">C7/3.6</f>
        <v>1.5</v>
      </c>
      <c r="F7" s="13" t="str">
        <f aca="false">IF(A7="культиватор","",A_0+A_v*C7+A_a*B7)</f>
        <v/>
      </c>
      <c r="G7" s="14" t="n">
        <f aca="false">IF(A7="культиватор",D7*B7*(k_0+eps*E7^2),"")</f>
        <v>4853.95768474765</v>
      </c>
      <c r="H7" s="11" t="n">
        <f aca="false">IF(A7="культиватор",G7/(m_ET*g),"")</f>
        <v>0.380613007507853</v>
      </c>
      <c r="I7" s="11" t="n">
        <f aca="false">IF(A7="культиватор",delta_0-LN(1-H7/phi_max)/k_slip,slip_till)</f>
        <v>0.15175873733698</v>
      </c>
      <c r="J7" s="11" t="n">
        <f aca="false">IF(A7="культиватор",G7/(m_D*g),"")</f>
        <v>0.434032376982639</v>
      </c>
      <c r="K7" s="11" t="n">
        <f aca="false">IF(A7="культиватор",delta_0-LN(1-J7/phi_max)/k_slip,slip_till)</f>
        <v>0.175194232235354</v>
      </c>
      <c r="L7" s="12" t="n">
        <f aca="false">IF(A7="культиватор",P_aux+M7/eta_ep,P_aux+c_move*E7/(1-slip_till)+P_rot0+F7*D7*B7*E7)</f>
        <v>15.2860836886075</v>
      </c>
      <c r="M7" s="12" t="n">
        <f aca="false">IF(A7="культиватор",(G7+f_roll*m_ET*g)*E7/(1-I7)/eta_tr/1000,eta_ep*(L7-P_aux))</f>
        <v>13.2933536459746</v>
      </c>
      <c r="N7" s="12" t="n">
        <f aca="false">IF(A7="культиватор",(G7+f_roll*m_D*g)*E7/(1-K7)/eta_tr/1000,eta_ep*(c_move*E7/(1-slip_till)*m_D/m_ET+P_rot0+F7*D7*B7*E7))+P_hyd_idle_D</f>
        <v>13.373079279384</v>
      </c>
      <c r="O7" s="18" t="n">
        <f aca="false">1-L7*(1+2*cv_P)/P_el_lim</f>
        <v>0.0698758736775941</v>
      </c>
      <c r="P7" s="18" t="n">
        <f aca="false">1-N7*(1+2*cv_P)/P_pto_nom</f>
        <v>0.140088390848902</v>
      </c>
      <c r="Q7" s="19" t="b">
        <f aca="false">AND(O7&gt;=0,I7&lt;=slip_max)</f>
        <v>1</v>
      </c>
      <c r="R7" s="19" t="b">
        <f aca="false">AND(P7&gt;=0,K7&lt;=slip_max)</f>
        <v>1</v>
      </c>
      <c r="S7" s="19" t="b">
        <f aca="false">AND(Q7,M7&lt;=P_mot_1h)</f>
        <v>0</v>
      </c>
      <c r="T7" s="12" t="n">
        <f aca="false">k_D*(sfc_a*N7+sfc_b*P_pto_nom)</f>
        <v>4.53183744146449</v>
      </c>
      <c r="U7" s="12" t="n">
        <f aca="false">N7/P_pto_nom</f>
        <v>0.807553096581162</v>
      </c>
    </row>
    <row r="8" customFormat="false" ht="15" hidden="false" customHeight="false" outlineLevel="0" collapsed="false">
      <c r="A8" s="17" t="str">
        <f aca="false">Опыт_режимы!A8</f>
        <v>культиватор</v>
      </c>
      <c r="B8" s="17" t="n">
        <f aca="false">Опыт_режимы!B8</f>
        <v>0.14</v>
      </c>
      <c r="C8" s="17" t="n">
        <f aca="false">Опыт_режимы!C8</f>
        <v>3.6</v>
      </c>
      <c r="D8" s="6" t="n">
        <f aca="false">IF(A8="культиватор",1.2,1.25)</f>
        <v>1.2</v>
      </c>
      <c r="E8" s="11" t="n">
        <f aca="false">C8/3.6</f>
        <v>1</v>
      </c>
      <c r="F8" s="13" t="str">
        <f aca="false">IF(A8="культиватор","",A_0+A_v*C8+A_a*B8)</f>
        <v/>
      </c>
      <c r="G8" s="14" t="n">
        <f aca="false">IF(A8="культиватор",D8*B8*(k_0+eps*E8^2),"")</f>
        <v>5794.45879697923</v>
      </c>
      <c r="H8" s="11" t="n">
        <f aca="false">IF(A8="культиватор",G8/(m_ET*g),"")</f>
        <v>0.454360448285049</v>
      </c>
      <c r="I8" s="11" t="n">
        <f aca="false">IF(A8="культиватор",delta_0-LN(1-H8/phi_max)/k_slip,slip_till)</f>
        <v>0.185615309547303</v>
      </c>
      <c r="J8" s="11" t="n">
        <f aca="false">IF(A8="культиватор",G8/(m_D*g),"")</f>
        <v>0.518130335763652</v>
      </c>
      <c r="K8" s="11" t="n">
        <f aca="false">IF(A8="культиватор",delta_0-LN(1-J8/phi_max)/k_slip,slip_till)</f>
        <v>0.226731959263838</v>
      </c>
      <c r="L8" s="12" t="n">
        <f aca="false">IF(A8="культиватор",P_aux+M8/eta_ep,P_aux+c_move*E8/(1-slip_till)+P_rot0+F8*D8*B8*E8)</f>
        <v>12.1606923209734</v>
      </c>
      <c r="M8" s="12" t="n">
        <f aca="false">IF(A8="культиватор",(G8+f_roll*m_ET*g)*E8/(1-I8)/eta_tr/1000,eta_ep*(L8-P_aux))</f>
        <v>10.5430092424566</v>
      </c>
      <c r="N8" s="12" t="n">
        <f aca="false">IF(A8="культиватор",(G8+f_roll*m_D*g)*E8/(1-K8)/eta_tr/1000,eta_ep*(c_move*E8/(1-slip_till)*m_D/m_ET+P_rot0+F8*D8*B8*E8))+P_hyd_idle_D</f>
        <v>10.9350476109898</v>
      </c>
      <c r="O8" s="18" t="n">
        <f aca="false">1-L8*(1+2*cv_P)/P_el_lim</f>
        <v>0.260048973240228</v>
      </c>
      <c r="P8" s="18" t="n">
        <f aca="false">1-N8*(1+2*cv_P)/P_pto_nom</f>
        <v>0.296857949402421</v>
      </c>
      <c r="Q8" s="19" t="b">
        <f aca="false">AND(O8&gt;=0,I8&lt;=slip_max)</f>
        <v>0</v>
      </c>
      <c r="R8" s="19" t="b">
        <f aca="false">AND(P8&gt;=0,K8&lt;=slip_max)</f>
        <v>0</v>
      </c>
      <c r="S8" s="19" t="b">
        <f aca="false">AND(Q8,M8&lt;=P_mot_1h)</f>
        <v>0</v>
      </c>
      <c r="T8" s="12" t="n">
        <f aca="false">k_D*(sfc_a*N8+sfc_b*P_pto_nom)</f>
        <v>3.99547047441775</v>
      </c>
      <c r="U8" s="12" t="n">
        <f aca="false">N8/P_pto_nom</f>
        <v>0.66032896201629</v>
      </c>
    </row>
    <row r="9" customFormat="false" ht="15" hidden="false" customHeight="false" outlineLevel="0" collapsed="false">
      <c r="A9" s="17" t="str">
        <f aca="false">Опыт_режимы!A9</f>
        <v>культиватор</v>
      </c>
      <c r="B9" s="17" t="n">
        <f aca="false">Опыт_режимы!B9</f>
        <v>0.14</v>
      </c>
      <c r="C9" s="17" t="n">
        <f aca="false">Опыт_режимы!C9</f>
        <v>4.5</v>
      </c>
      <c r="D9" s="6" t="n">
        <f aca="false">IF(A9="культиватор",1.2,1.25)</f>
        <v>1.2</v>
      </c>
      <c r="E9" s="11" t="n">
        <f aca="false">C9/3.6</f>
        <v>1.25</v>
      </c>
      <c r="F9" s="13" t="str">
        <f aca="false">IF(A9="культиватор","",A_0+A_v*C9+A_a*B9)</f>
        <v/>
      </c>
      <c r="G9" s="14" t="n">
        <f aca="false">IF(A9="культиватор",D9*B9*(k_0+eps*E9^2),"")</f>
        <v>5966.94628505768</v>
      </c>
      <c r="H9" s="11" t="n">
        <f aca="false">IF(A9="культиватор",G9/(m_ET*g),"")</f>
        <v>0.467885696311275</v>
      </c>
      <c r="I9" s="11" t="n">
        <f aca="false">IF(A9="культиватор",delta_0-LN(1-H9/phi_max)/k_slip,slip_till)</f>
        <v>0.193140964952159</v>
      </c>
      <c r="J9" s="11" t="n">
        <f aca="false">IF(A9="культиватор",G9/(m_D*g),"")</f>
        <v>0.533553864214611</v>
      </c>
      <c r="K9" s="11" t="n">
        <f aca="false">IF(A9="культиватор",delta_0-LN(1-J9/phi_max)/k_slip,slip_till)</f>
        <v>0.239511067387461</v>
      </c>
      <c r="L9" s="12" t="n">
        <f aca="false">IF(A9="культиватор",P_aux+M9/eta_ep,P_aux+c_move*E9/(1-slip_till)+P_rot0+F9*D9*B9*E9)</f>
        <v>15.6406147356385</v>
      </c>
      <c r="M9" s="12" t="n">
        <f aca="false">IF(A9="культиватор",(G9+f_roll*m_ET*g)*E9/(1-I9)/eta_tr/1000,eta_ep*(L9-P_aux))</f>
        <v>13.6053409673619</v>
      </c>
      <c r="N9" s="12" t="n">
        <f aca="false">IF(A9="культиватор",(G9+f_roll*m_D*g)*E9/(1-K9)/eta_tr/1000,eta_ep*(c_move*E9/(1-slip_till)*m_D/m_ET+P_rot0+F9*D9*B9*E9))+P_hyd_idle_D</f>
        <v>14.1800219676655</v>
      </c>
      <c r="O9" s="18" t="n">
        <f aca="false">1-L9*(1+2*cv_P)/P_el_lim</f>
        <v>0.0483034495635215</v>
      </c>
      <c r="P9" s="18" t="n">
        <f aca="false">1-N9*(1+2*cv_P)/P_pto_nom</f>
        <v>0.0882006115965525</v>
      </c>
      <c r="Q9" s="19" t="b">
        <f aca="false">AND(O9&gt;=0,I9&lt;=slip_max)</f>
        <v>0</v>
      </c>
      <c r="R9" s="19" t="b">
        <f aca="false">AND(P9&gt;=0,K9&lt;=slip_max)</f>
        <v>0</v>
      </c>
      <c r="S9" s="19" t="b">
        <f aca="false">AND(Q9,M9&lt;=P_mot_1h)</f>
        <v>0</v>
      </c>
      <c r="T9" s="12" t="n">
        <f aca="false">k_D*(sfc_a*N9+sfc_b*P_pto_nom)</f>
        <v>4.70936483288642</v>
      </c>
      <c r="U9" s="12" t="n">
        <f aca="false">N9/P_pto_nom</f>
        <v>0.856281519786566</v>
      </c>
    </row>
    <row r="10" customFormat="false" ht="15" hidden="false" customHeight="false" outlineLevel="0" collapsed="false">
      <c r="A10" s="17" t="str">
        <f aca="false">Опыт_режимы!A10</f>
        <v>фреза</v>
      </c>
      <c r="B10" s="17" t="n">
        <f aca="false">Опыт_режимы!B10</f>
        <v>0.08</v>
      </c>
      <c r="C10" s="17" t="n">
        <f aca="false">Опыт_режимы!C10</f>
        <v>1.8</v>
      </c>
      <c r="D10" s="6" t="n">
        <f aca="false">IF(A10="культиватор",1.2,1.25)</f>
        <v>1.25</v>
      </c>
      <c r="E10" s="11" t="n">
        <f aca="false">C10/3.6</f>
        <v>0.5</v>
      </c>
      <c r="F10" s="13" t="n">
        <f aca="false">IF(A10="культиватор","",A_0+A_v*C10+A_a*B10)</f>
        <v>104.728343560847</v>
      </c>
      <c r="G10" s="14" t="str">
        <f aca="false">IF(A10="культиватор",D10*B10*(k_0+eps*E10^2),"")</f>
        <v/>
      </c>
      <c r="H10" s="11" t="str">
        <f aca="false">IF(A10="культиватор",G10/(m_ET*g),"")</f>
        <v/>
      </c>
      <c r="I10" s="11" t="n">
        <f aca="false">IF(A10="культиватор",delta_0-LN(1-H10/phi_max)/k_slip,slip_till)</f>
        <v>0.0526544508970218</v>
      </c>
      <c r="J10" s="11" t="str">
        <f aca="false">IF(A10="культиватор",G10/(m_D*g),"")</f>
        <v/>
      </c>
      <c r="K10" s="11" t="n">
        <f aca="false">IF(A10="культиватор",delta_0-LN(1-J10/phi_max)/k_slip,slip_till)</f>
        <v>0.0526544508970218</v>
      </c>
      <c r="L10" s="12" t="n">
        <f aca="false">IF(A10="культиватор",P_aux+M10/eta_ep,P_aux+c_move*E10/(1-slip_till)+P_rot0+F10*D10*B10*E10)</f>
        <v>7.42689175726084</v>
      </c>
      <c r="M10" s="12" t="n">
        <f aca="false">IF(A10="культиватор",(G10+f_roll*m_ET*g)*E10/(1-I10)/eta_tr/1000,eta_ep*(L10-P_aux))</f>
        <v>6.37726474638954</v>
      </c>
      <c r="N10" s="12" t="n">
        <f aca="false">IF(A10="культиватор",(G10+f_roll*m_D*g)*E10/(1-K10)/eta_tr/1000,eta_ep*(c_move*E10/(1-slip_till)*m_D/m_ET+P_rot0+F10*D10*B10*E10))+P_hyd_idle_D</f>
        <v>6.41578639196341</v>
      </c>
      <c r="O10" s="18" t="n">
        <f aca="false">1-L10*(1+2*cv_P)/P_el_lim</f>
        <v>0.548090187929451</v>
      </c>
      <c r="P10" s="18" t="n">
        <f aca="false">1-N10*(1+2*cv_P)/P_pto_nom</f>
        <v>0.587454087048747</v>
      </c>
      <c r="Q10" s="19" t="b">
        <f aca="false">AND(O10&gt;=0,I10&lt;=slip_max)</f>
        <v>1</v>
      </c>
      <c r="R10" s="19" t="b">
        <f aca="false">AND(P10&gt;=0,K10&lt;=slip_max)</f>
        <v>1</v>
      </c>
      <c r="S10" s="19" t="b">
        <f aca="false">AND(Q10,M10&lt;=P_mot_1h)</f>
        <v>1</v>
      </c>
      <c r="T10" s="12" t="n">
        <f aca="false">k_D*(sfc_a*N10+sfc_b*P_pto_nom)</f>
        <v>3.00123300623195</v>
      </c>
      <c r="U10" s="12" t="n">
        <f aca="false">N10/P_pto_nom</f>
        <v>0.387426714490544</v>
      </c>
    </row>
    <row r="11" customFormat="false" ht="15" hidden="false" customHeight="false" outlineLevel="0" collapsed="false">
      <c r="A11" s="17" t="str">
        <f aca="false">Опыт_режимы!A11</f>
        <v>фреза</v>
      </c>
      <c r="B11" s="17" t="n">
        <f aca="false">Опыт_режимы!B11</f>
        <v>0.08</v>
      </c>
      <c r="C11" s="17" t="n">
        <f aca="false">Опыт_режимы!C11</f>
        <v>2.7</v>
      </c>
      <c r="D11" s="6" t="n">
        <f aca="false">IF(A11="культиватор",1.2,1.25)</f>
        <v>1.25</v>
      </c>
      <c r="E11" s="11" t="n">
        <f aca="false">C11/3.6</f>
        <v>0.75</v>
      </c>
      <c r="F11" s="13" t="n">
        <f aca="false">IF(A11="культиватор","",A_0+A_v*C11+A_a*B11)</f>
        <v>95.5172635432959</v>
      </c>
      <c r="G11" s="14" t="str">
        <f aca="false">IF(A11="культиватор",D11*B11*(k_0+eps*E11^2),"")</f>
        <v/>
      </c>
      <c r="H11" s="11" t="str">
        <f aca="false">IF(A11="культиватор",G11/(m_ET*g),"")</f>
        <v/>
      </c>
      <c r="I11" s="11" t="n">
        <f aca="false">IF(A11="культиватор",delta_0-LN(1-H11/phi_max)/k_slip,slip_till)</f>
        <v>0.0526544508970218</v>
      </c>
      <c r="J11" s="11" t="str">
        <f aca="false">IF(A11="культиватор",G11/(m_D*g),"")</f>
        <v/>
      </c>
      <c r="K11" s="11" t="n">
        <f aca="false">IF(A11="культиватор",delta_0-LN(1-J11/phi_max)/k_slip,slip_till)</f>
        <v>0.0526544508970218</v>
      </c>
      <c r="L11" s="12" t="n">
        <f aca="false">IF(A11="культиватор",P_aux+M11/eta_ep,P_aux+c_move*E11/(1-slip_till)+P_rot0+F11*D11*B11*E11)</f>
        <v>9.86890663457496</v>
      </c>
      <c r="M11" s="12" t="n">
        <f aca="false">IF(A11="культиватор",(G11+f_roll*m_ET*g)*E11/(1-I11)/eta_tr/1000,eta_ep*(L11-P_aux))</f>
        <v>8.52623783842596</v>
      </c>
      <c r="N11" s="12" t="n">
        <f aca="false">IF(A11="культиватор",(G11+f_roll*m_D*g)*E11/(1-K11)/eta_tr/1000,eta_ep*(c_move*E11/(1-slip_till)*m_D/m_ET+P_rot0+F11*D11*B11*E11))+P_hyd_idle_D</f>
        <v>8.50902030678677</v>
      </c>
      <c r="O11" s="18" t="n">
        <f aca="false">1-L11*(1+2*cv_P)/P_el_lim</f>
        <v>0.399499024849471</v>
      </c>
      <c r="P11" s="18" t="n">
        <f aca="false">1-N11*(1+2*cv_P)/P_pto_nom</f>
        <v>0.452855607041208</v>
      </c>
      <c r="Q11" s="19" t="b">
        <f aca="false">AND(O11&gt;=0,I11&lt;=slip_max)</f>
        <v>1</v>
      </c>
      <c r="R11" s="19" t="b">
        <f aca="false">AND(P11&gt;=0,K11&lt;=slip_max)</f>
        <v>1</v>
      </c>
      <c r="S11" s="19" t="b">
        <f aca="false">AND(Q11,M11&lt;=P_mot_1h)</f>
        <v>1</v>
      </c>
      <c r="T11" s="12" t="n">
        <f aca="false">k_D*(sfc_a*N11+sfc_b*P_pto_nom)</f>
        <v>3.46174446749309</v>
      </c>
      <c r="U11" s="12" t="n">
        <f aca="false">N11/P_pto_nom</f>
        <v>0.513829728670699</v>
      </c>
    </row>
    <row r="12" customFormat="false" ht="15" hidden="false" customHeight="false" outlineLevel="0" collapsed="false">
      <c r="A12" s="17" t="str">
        <f aca="false">Опыт_режимы!A12</f>
        <v>фреза</v>
      </c>
      <c r="B12" s="17" t="n">
        <f aca="false">Опыт_режимы!B12</f>
        <v>0.08</v>
      </c>
      <c r="C12" s="17" t="n">
        <f aca="false">Опыт_режимы!C12</f>
        <v>3.6</v>
      </c>
      <c r="D12" s="6" t="n">
        <f aca="false">IF(A12="культиватор",1.2,1.25)</f>
        <v>1.25</v>
      </c>
      <c r="E12" s="11" t="n">
        <f aca="false">C12/3.6</f>
        <v>1</v>
      </c>
      <c r="F12" s="13" t="n">
        <f aca="false">IF(A12="культиватор","",A_0+A_v*C12+A_a*B12)</f>
        <v>86.3061835257451</v>
      </c>
      <c r="G12" s="14" t="str">
        <f aca="false">IF(A12="культиватор",D12*B12*(k_0+eps*E12^2),"")</f>
        <v/>
      </c>
      <c r="H12" s="11" t="str">
        <f aca="false">IF(A12="культиватор",G12/(m_ET*g),"")</f>
        <v/>
      </c>
      <c r="I12" s="11" t="n">
        <f aca="false">IF(A12="культиватор",delta_0-LN(1-H12/phi_max)/k_slip,slip_till)</f>
        <v>0.0526544508970218</v>
      </c>
      <c r="J12" s="11" t="str">
        <f aca="false">IF(A12="культиватор",G12/(m_D*g),"")</f>
        <v/>
      </c>
      <c r="K12" s="11" t="n">
        <f aca="false">IF(A12="культиватор",delta_0-LN(1-J12/phi_max)/k_slip,slip_till)</f>
        <v>0.0526544508970218</v>
      </c>
      <c r="L12" s="12" t="n">
        <f aca="false">IF(A12="культиватор",P_aux+M12/eta_ep,P_aux+c_move*E12/(1-slip_till)+P_rot0+F12*D12*B12*E12)</f>
        <v>11.8503675110115</v>
      </c>
      <c r="M12" s="12" t="n">
        <f aca="false">IF(A12="культиватор",(G12+f_roll*m_ET*g)*E12/(1-I12)/eta_tr/1000,eta_ep*(L12-P_aux))</f>
        <v>10.2699234096901</v>
      </c>
      <c r="N12" s="12" t="n">
        <f aca="false">IF(A12="культиватор",(G12+f_roll*m_D*g)*E12/(1-K12)/eta_tr/1000,eta_ep*(c_move*E12/(1-slip_till)*m_D/m_ET+P_rot0+F12*D12*B12*E12))+P_hyd_idle_D</f>
        <v>10.1969667008379</v>
      </c>
      <c r="O12" s="18" t="n">
        <f aca="false">1-L12*(1+2*cv_P)/P_el_lim</f>
        <v>0.278931546345401</v>
      </c>
      <c r="P12" s="18" t="n">
        <f aca="false">1-N12*(1+2*cv_P)/P_pto_nom</f>
        <v>0.344317799888079</v>
      </c>
      <c r="Q12" s="19" t="b">
        <f aca="false">AND(O12&gt;=0,I12&lt;=slip_max)</f>
        <v>1</v>
      </c>
      <c r="R12" s="19" t="b">
        <f aca="false">AND(P12&gt;=0,K12&lt;=slip_max)</f>
        <v>1</v>
      </c>
      <c r="S12" s="19" t="b">
        <f aca="false">AND(Q12,M12&lt;=P_mot_1h)</f>
        <v>1</v>
      </c>
      <c r="T12" s="12" t="n">
        <f aca="false">k_D*(sfc_a*N12+sfc_b*P_pto_nom)</f>
        <v>3.83309267418434</v>
      </c>
      <c r="U12" s="12" t="n">
        <f aca="false">N12/P_pto_nom</f>
        <v>0.61575885874625</v>
      </c>
    </row>
    <row r="13" customFormat="false" ht="15" hidden="false" customHeight="false" outlineLevel="0" collapsed="false">
      <c r="A13" s="17" t="str">
        <f aca="false">Опыт_режимы!A13</f>
        <v>фреза</v>
      </c>
      <c r="B13" s="17" t="n">
        <f aca="false">Опыт_режимы!B13</f>
        <v>0.12</v>
      </c>
      <c r="C13" s="17" t="n">
        <f aca="false">Опыт_режимы!C13</f>
        <v>1.8</v>
      </c>
      <c r="D13" s="6" t="n">
        <f aca="false">IF(A13="культиватор",1.2,1.25)</f>
        <v>1.25</v>
      </c>
      <c r="E13" s="11" t="n">
        <f aca="false">C13/3.6</f>
        <v>0.5</v>
      </c>
      <c r="F13" s="13" t="n">
        <f aca="false">IF(A13="культиватор","",A_0+A_v*C13+A_a*B13)</f>
        <v>103.63957308726</v>
      </c>
      <c r="G13" s="14" t="str">
        <f aca="false">IF(A13="культиватор",D13*B13*(k_0+eps*E13^2),"")</f>
        <v/>
      </c>
      <c r="H13" s="11" t="str">
        <f aca="false">IF(A13="культиватор",G13/(m_ET*g),"")</f>
        <v/>
      </c>
      <c r="I13" s="11" t="n">
        <f aca="false">IF(A13="культиватор",delta_0-LN(1-H13/phi_max)/k_slip,slip_till)</f>
        <v>0.0526544508970218</v>
      </c>
      <c r="J13" s="11" t="str">
        <f aca="false">IF(A13="культиватор",G13/(m_D*g),"")</f>
        <v/>
      </c>
      <c r="K13" s="11" t="n">
        <f aca="false">IF(A13="культиватор",delta_0-LN(1-J13/phi_max)/k_slip,slip_till)</f>
        <v>0.0526544508970218</v>
      </c>
      <c r="L13" s="12" t="n">
        <f aca="false">IF(A13="культиватор",P_aux+M13/eta_ep,P_aux+c_move*E13/(1-slip_till)+P_rot0+F13*D13*B13*E13)</f>
        <v>9.96344256076298</v>
      </c>
      <c r="M13" s="12" t="n">
        <f aca="false">IF(A13="культиватор",(G13+f_roll*m_ET*g)*E13/(1-I13)/eta_tr/1000,eta_ep*(L13-P_aux))</f>
        <v>8.60942945347142</v>
      </c>
      <c r="N13" s="12" t="n">
        <f aca="false">IF(A13="культиватор",(G13+f_roll*m_D*g)*E13/(1-K13)/eta_tr/1000,eta_ep*(c_move*E13/(1-slip_till)*m_D/m_ET+P_rot0+F13*D13*B13*E13))+P_hyd_idle_D</f>
        <v>8.64795109904529</v>
      </c>
      <c r="O13" s="18" t="n">
        <f aca="false">1-L13*(1+2*cv_P)/P_el_lim</f>
        <v>0.393746724420994</v>
      </c>
      <c r="P13" s="18" t="n">
        <f aca="false">1-N13*(1+2*cv_P)/P_pto_nom</f>
        <v>0.443922122191848</v>
      </c>
      <c r="Q13" s="19" t="b">
        <f aca="false">AND(O13&gt;=0,I13&lt;=slip_max)</f>
        <v>1</v>
      </c>
      <c r="R13" s="19" t="b">
        <f aca="false">AND(P13&gt;=0,K13&lt;=slip_max)</f>
        <v>1</v>
      </c>
      <c r="S13" s="19" t="b">
        <f aca="false">AND(Q13,M13&lt;=P_mot_1h)</f>
        <v>1</v>
      </c>
      <c r="T13" s="12" t="n">
        <f aca="false">k_D*(sfc_a*N13+sfc_b*P_pto_nom)</f>
        <v>3.49230924178996</v>
      </c>
      <c r="U13" s="12" t="n">
        <f aca="false">N13/P_pto_nom</f>
        <v>0.52221926926602</v>
      </c>
    </row>
    <row r="14" customFormat="false" ht="15" hidden="false" customHeight="false" outlineLevel="0" collapsed="false">
      <c r="A14" s="17" t="str">
        <f aca="false">Опыт_режимы!A14</f>
        <v>фреза</v>
      </c>
      <c r="B14" s="17" t="n">
        <f aca="false">Опыт_режимы!B14</f>
        <v>0.12</v>
      </c>
      <c r="C14" s="17" t="n">
        <f aca="false">Опыт_режимы!C14</f>
        <v>2.7</v>
      </c>
      <c r="D14" s="6" t="n">
        <f aca="false">IF(A14="культиватор",1.2,1.25)</f>
        <v>1.25</v>
      </c>
      <c r="E14" s="11" t="n">
        <f aca="false">C14/3.6</f>
        <v>0.75</v>
      </c>
      <c r="F14" s="13" t="n">
        <f aca="false">IF(A14="культиватор","",A_0+A_v*C14+A_a*B14)</f>
        <v>94.4284930697088</v>
      </c>
      <c r="G14" s="14" t="str">
        <f aca="false">IF(A14="культиватор",D14*B14*(k_0+eps*E14^2),"")</f>
        <v/>
      </c>
      <c r="H14" s="11" t="str">
        <f aca="false">IF(A14="культиватор",G14/(m_ET*g),"")</f>
        <v/>
      </c>
      <c r="I14" s="11" t="n">
        <f aca="false">IF(A14="культиватор",delta_0-LN(1-H14/phi_max)/k_slip,slip_till)</f>
        <v>0.0526544508970218</v>
      </c>
      <c r="J14" s="11" t="str">
        <f aca="false">IF(A14="культиватор",G14/(m_D*g),"")</f>
        <v/>
      </c>
      <c r="K14" s="11" t="n">
        <f aca="false">IF(A14="культиватор",delta_0-LN(1-J14/phi_max)/k_slip,slip_till)</f>
        <v>0.0526544508970218</v>
      </c>
      <c r="L14" s="12" t="n">
        <f aca="false">IF(A14="культиватор",P_aux+M14/eta_ep,P_aux+c_move*E14/(1-slip_till)+P_rot0+F14*D14*B14*E14)</f>
        <v>13.32831733917</v>
      </c>
      <c r="M14" s="12" t="n">
        <f aca="false">IF(A14="культиватор",(G14+f_roll*m_ET*g)*E14/(1-I14)/eta_tr/1000,eta_ep*(L14-P_aux))</f>
        <v>11.5705192584696</v>
      </c>
      <c r="N14" s="12" t="n">
        <f aca="false">IF(A14="культиватор",(G14+f_roll*m_D*g)*E14/(1-K14)/eta_tr/1000,eta_ep*(c_move*E14/(1-slip_till)*m_D/m_ET+P_rot0+F14*D14*B14*E14))+P_hyd_idle_D</f>
        <v>11.5533017268304</v>
      </c>
      <c r="O14" s="18" t="n">
        <f aca="false">1-L14*(1+2*cv_P)/P_el_lim</f>
        <v>0.189001593018718</v>
      </c>
      <c r="P14" s="18" t="n">
        <f aca="false">1-N14*(1+2*cv_P)/P_pto_nom</f>
        <v>0.257103164396667</v>
      </c>
      <c r="Q14" s="19" t="b">
        <f aca="false">AND(O14&gt;=0,I14&lt;=slip_max)</f>
        <v>1</v>
      </c>
      <c r="R14" s="19" t="b">
        <f aca="false">AND(P14&gt;=0,K14&lt;=slip_max)</f>
        <v>1</v>
      </c>
      <c r="S14" s="19" t="b">
        <f aca="false">AND(Q14,M14&lt;=P_mot_1h)</f>
        <v>1</v>
      </c>
      <c r="T14" s="12" t="n">
        <f aca="false">k_D*(sfc_a*N14+sfc_b*P_pto_nom)</f>
        <v>4.13148637990269</v>
      </c>
      <c r="U14" s="12" t="n">
        <f aca="false">N14/P_pto_nom</f>
        <v>0.69766314775546</v>
      </c>
    </row>
    <row r="15" customFormat="false" ht="15" hidden="false" customHeight="false" outlineLevel="0" collapsed="false">
      <c r="A15" s="17" t="str">
        <f aca="false">Опыт_режимы!A15</f>
        <v>фреза</v>
      </c>
      <c r="B15" s="17" t="n">
        <f aca="false">Опыт_режимы!B15</f>
        <v>0.12</v>
      </c>
      <c r="C15" s="17" t="n">
        <f aca="false">Опыт_режимы!C15</f>
        <v>3.6</v>
      </c>
      <c r="D15" s="6" t="n">
        <f aca="false">IF(A15="культиватор",1.2,1.25)</f>
        <v>1.25</v>
      </c>
      <c r="E15" s="11" t="n">
        <f aca="false">C15/3.6</f>
        <v>1</v>
      </c>
      <c r="F15" s="13" t="n">
        <f aca="false">IF(A15="культиватор","",A_0+A_v*C15+A_a*B15)</f>
        <v>85.217413052158</v>
      </c>
      <c r="G15" s="14" t="str">
        <f aca="false">IF(A15="культиватор",D15*B15*(k_0+eps*E15^2),"")</f>
        <v/>
      </c>
      <c r="H15" s="11" t="str">
        <f aca="false">IF(A15="культиватор",G15/(m_ET*g),"")</f>
        <v/>
      </c>
      <c r="I15" s="11" t="n">
        <f aca="false">IF(A15="культиватор",delta_0-LN(1-H15/phi_max)/k_slip,slip_till)</f>
        <v>0.0526544508970218</v>
      </c>
      <c r="J15" s="11" t="str">
        <f aca="false">IF(A15="культиватор",G15/(m_D*g),"")</f>
        <v/>
      </c>
      <c r="K15" s="11" t="n">
        <f aca="false">IF(A15="культиватор",delta_0-LN(1-J15/phi_max)/k_slip,slip_till)</f>
        <v>0.0526544508970218</v>
      </c>
      <c r="L15" s="12" t="n">
        <f aca="false">IF(A15="культиватор",P_aux+M15/eta_ep,P_aux+c_move*E15/(1-slip_till)+P_rot0+F15*D15*B15*E15)</f>
        <v>16.0023611162607</v>
      </c>
      <c r="M15" s="12" t="n">
        <f aca="false">IF(A15="культиватор",(G15+f_roll*m_ET*g)*E15/(1-I15)/eta_tr/1000,eta_ep*(L15-P_aux))</f>
        <v>13.9236777823094</v>
      </c>
      <c r="N15" s="12" t="n">
        <f aca="false">IF(A15="культиватор",(G15+f_roll*m_D*g)*E15/(1-K15)/eta_tr/1000,eta_ep*(c_move*E15/(1-slip_till)*m_D/m_ET+P_rot0+F15*D15*B15*E15))+P_hyd_idle_D</f>
        <v>13.8507210734572</v>
      </c>
      <c r="O15" s="18" t="n">
        <f aca="false">1-L15*(1+2*cv_P)/P_el_lim</f>
        <v>0.0262919884803082</v>
      </c>
      <c r="P15" s="18" t="n">
        <f aca="false">1-N15*(1+2*cv_P)/P_pto_nom</f>
        <v>0.109375215883101</v>
      </c>
      <c r="Q15" s="19" t="b">
        <f aca="false">AND(O15&gt;=0,I15&lt;=slip_max)</f>
        <v>1</v>
      </c>
      <c r="R15" s="19" t="b">
        <f aca="false">AND(P15&gt;=0,K15&lt;=slip_max)</f>
        <v>1</v>
      </c>
      <c r="S15" s="19" t="b">
        <f aca="false">AND(Q15,M15&lt;=P_mot_1h)</f>
        <v>0</v>
      </c>
      <c r="T15" s="12" t="n">
        <f aca="false">k_D*(sfc_a*N15+sfc_b*P_pto_nom)</f>
        <v>4.63691863616058</v>
      </c>
      <c r="U15" s="12" t="n">
        <f aca="false">N15/P_pto_nom</f>
        <v>0.836396200087994</v>
      </c>
    </row>
    <row r="16" customFormat="false" ht="15" hidden="false" customHeight="false" outlineLevel="0" collapsed="false">
      <c r="A16" s="17" t="str">
        <f aca="false">Опыт_режимы!A16</f>
        <v>фреза</v>
      </c>
      <c r="B16" s="17" t="n">
        <f aca="false">Опыт_режимы!B16</f>
        <v>0.16</v>
      </c>
      <c r="C16" s="17" t="n">
        <f aca="false">Опыт_режимы!C16</f>
        <v>1.8</v>
      </c>
      <c r="D16" s="6" t="n">
        <f aca="false">IF(A16="культиватор",1.2,1.25)</f>
        <v>1.25</v>
      </c>
      <c r="E16" s="11" t="n">
        <f aca="false">C16/3.6</f>
        <v>0.5</v>
      </c>
      <c r="F16" s="13" t="n">
        <f aca="false">IF(A16="культиватор","",A_0+A_v*C16+A_a*B16)</f>
        <v>102.550802613672</v>
      </c>
      <c r="G16" s="14" t="str">
        <f aca="false">IF(A16="культиватор",D16*B16*(k_0+eps*E16^2),"")</f>
        <v/>
      </c>
      <c r="H16" s="11" t="str">
        <f aca="false">IF(A16="культиватор",G16/(m_ET*g),"")</f>
        <v/>
      </c>
      <c r="I16" s="11" t="n">
        <f aca="false">IF(A16="культиватор",delta_0-LN(1-H16/phi_max)/k_slip,slip_till)</f>
        <v>0.0526544508970218</v>
      </c>
      <c r="J16" s="11" t="str">
        <f aca="false">IF(A16="культиватор",G16/(m_D*g),"")</f>
        <v/>
      </c>
      <c r="K16" s="11" t="n">
        <f aca="false">IF(A16="культиватор",delta_0-LN(1-J16/phi_max)/k_slip,slip_till)</f>
        <v>0.0526544508970218</v>
      </c>
      <c r="L16" s="12" t="n">
        <f aca="false">IF(A16="культиватор",P_aux+M16/eta_ep,P_aux+c_move*E16/(1-slip_till)+P_rot0+F16*D16*B16*E16)</f>
        <v>12.4455548405858</v>
      </c>
      <c r="M16" s="12" t="n">
        <f aca="false">IF(A16="культиватор",(G16+f_roll*m_ET*g)*E16/(1-I16)/eta_tr/1000,eta_ep*(L16-P_aux))</f>
        <v>10.7936882597155</v>
      </c>
      <c r="N16" s="12" t="n">
        <f aca="false">IF(A16="культиватор",(G16+f_roll*m_D*g)*E16/(1-K16)/eta_tr/1000,eta_ep*(c_move*E16/(1-slip_till)*m_D/m_ET+P_rot0+F16*D16*B16*E16))+P_hyd_idle_D</f>
        <v>10.8322099052893</v>
      </c>
      <c r="O16" s="18" t="n">
        <f aca="false">1-L16*(1+2*cv_P)/P_el_lim</f>
        <v>0.242715723758287</v>
      </c>
      <c r="P16" s="18" t="n">
        <f aca="false">1-N16*(1+2*cv_P)/P_pto_nom</f>
        <v>0.303470587759138</v>
      </c>
      <c r="Q16" s="19" t="b">
        <f aca="false">AND(O16&gt;=0,I16&lt;=slip_max)</f>
        <v>1</v>
      </c>
      <c r="R16" s="19" t="b">
        <f aca="false">AND(P16&gt;=0,K16&lt;=slip_max)</f>
        <v>1</v>
      </c>
      <c r="S16" s="19" t="b">
        <f aca="false">AND(Q16,M16&lt;=P_mot_1h)</f>
        <v>1</v>
      </c>
      <c r="T16" s="12" t="n">
        <f aca="false">k_D*(sfc_a*N16+sfc_b*P_pto_nom)</f>
        <v>3.97284617916365</v>
      </c>
      <c r="U16" s="12" t="n">
        <f aca="false">N16/P_pto_nom</f>
        <v>0.654118955633414</v>
      </c>
    </row>
    <row r="17" customFormat="false" ht="15" hidden="false" customHeight="false" outlineLevel="0" collapsed="false">
      <c r="A17" s="17" t="str">
        <f aca="false">Опыт_режимы!A17</f>
        <v>фреза</v>
      </c>
      <c r="B17" s="17" t="n">
        <f aca="false">Опыт_режимы!B17</f>
        <v>0.16</v>
      </c>
      <c r="C17" s="17" t="n">
        <f aca="false">Опыт_режимы!C17</f>
        <v>2.7</v>
      </c>
      <c r="D17" s="6" t="n">
        <f aca="false">IF(A17="культиватор",1.2,1.25)</f>
        <v>1.25</v>
      </c>
      <c r="E17" s="11" t="n">
        <f aca="false">C17/3.6</f>
        <v>0.75</v>
      </c>
      <c r="F17" s="13" t="n">
        <f aca="false">IF(A17="культиватор","",A_0+A_v*C17+A_a*B17)</f>
        <v>93.3397225961217</v>
      </c>
      <c r="G17" s="14" t="str">
        <f aca="false">IF(A17="культиватор",D17*B17*(k_0+eps*E17^2),"")</f>
        <v/>
      </c>
      <c r="H17" s="11" t="str">
        <f aca="false">IF(A17="культиватор",G17/(m_ET*g),"")</f>
        <v/>
      </c>
      <c r="I17" s="11" t="n">
        <f aca="false">IF(A17="культиватор",delta_0-LN(1-H17/phi_max)/k_slip,slip_till)</f>
        <v>0.0526544508970218</v>
      </c>
      <c r="J17" s="11" t="str">
        <f aca="false">IF(A17="культиватор",G17/(m_D*g),"")</f>
        <v/>
      </c>
      <c r="K17" s="11" t="n">
        <f aca="false">IF(A17="культиватор",delta_0-LN(1-J17/phi_max)/k_slip,slip_till)</f>
        <v>0.0526544508970218</v>
      </c>
      <c r="L17" s="12" t="n">
        <f aca="false">IF(A17="культиватор",P_aux+M17/eta_ep,P_aux+c_move*E17/(1-slip_till)+P_rot0+F17*D17*B17*E17)</f>
        <v>16.706070258246</v>
      </c>
      <c r="M17" s="12" t="n">
        <f aca="false">IF(A17="культиватор",(G17+f_roll*m_ET*g)*E17/(1-I17)/eta_tr/1000,eta_ep*(L17-P_aux))</f>
        <v>14.5429418272565</v>
      </c>
      <c r="N17" s="12" t="n">
        <f aca="false">IF(A17="культиватор",(G17+f_roll*m_D*g)*E17/(1-K17)/eta_tr/1000,eta_ep*(c_move*E17/(1-slip_till)*m_D/m_ET+P_rot0+F17*D17*B17*E17))+P_hyd_idle_D</f>
        <v>14.5257242956173</v>
      </c>
      <c r="O17" s="18" t="n">
        <f aca="false">1-L17*(1+2*cv_P)/P_el_lim</f>
        <v>-0.0165271445434092</v>
      </c>
      <c r="P17" s="18" t="n">
        <f aca="false">1-N17*(1+2*cv_P)/P_pto_nom</f>
        <v>0.0659713673884084</v>
      </c>
      <c r="Q17" s="19" t="b">
        <f aca="false">AND(O17&gt;=0,I17&lt;=slip_max)</f>
        <v>0</v>
      </c>
      <c r="R17" s="19" t="b">
        <f aca="false">AND(P17&gt;=0,K17&lt;=slip_max)</f>
        <v>1</v>
      </c>
      <c r="S17" s="19" t="b">
        <f aca="false">AND(Q17,M17&lt;=P_mot_1h)</f>
        <v>0</v>
      </c>
      <c r="T17" s="12" t="n">
        <f aca="false">k_D*(sfc_a*N17+sfc_b*P_pto_nom)</f>
        <v>4.78541934503581</v>
      </c>
      <c r="U17" s="12" t="n">
        <f aca="false">N17/P_pto_nom</f>
        <v>0.877157264228099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17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4" min="2" style="0" width="10"/>
  </cols>
  <sheetData>
    <row r="1" customFormat="false" ht="45" hidden="false" customHeight="true" outlineLevel="0" collapsed="false">
      <c r="A1" s="4" t="s">
        <v>352</v>
      </c>
      <c r="B1" s="4" t="s">
        <v>256</v>
      </c>
      <c r="C1" s="4" t="s">
        <v>353</v>
      </c>
      <c r="D1" s="4" t="s">
        <v>354</v>
      </c>
      <c r="E1" s="4" t="s">
        <v>355</v>
      </c>
      <c r="F1" s="4" t="s">
        <v>356</v>
      </c>
      <c r="G1" s="4" t="s">
        <v>357</v>
      </c>
      <c r="H1" s="4" t="s">
        <v>358</v>
      </c>
      <c r="I1" s="4" t="s">
        <v>359</v>
      </c>
      <c r="J1" s="4" t="s">
        <v>360</v>
      </c>
      <c r="K1" s="4" t="s">
        <v>361</v>
      </c>
      <c r="L1" s="4" t="s">
        <v>362</v>
      </c>
      <c r="M1" s="4" t="s">
        <v>363</v>
      </c>
      <c r="N1" s="4" t="s">
        <v>364</v>
      </c>
      <c r="O1" s="4" t="s">
        <v>365</v>
      </c>
      <c r="P1" s="4" t="s">
        <v>366</v>
      </c>
      <c r="Q1" s="4" t="s">
        <v>367</v>
      </c>
      <c r="R1" s="4" t="s">
        <v>368</v>
      </c>
      <c r="S1" s="4" t="s">
        <v>369</v>
      </c>
      <c r="T1" s="4" t="s">
        <v>370</v>
      </c>
      <c r="U1" s="4" t="s">
        <v>371</v>
      </c>
      <c r="V1" s="4" t="s">
        <v>372</v>
      </c>
      <c r="W1" s="4" t="s">
        <v>373</v>
      </c>
      <c r="X1" s="4" t="s">
        <v>374</v>
      </c>
    </row>
    <row r="2" customFormat="false" ht="15" hidden="false" customHeight="false" outlineLevel="0" collapsed="false">
      <c r="A2" s="17" t="str">
        <f aca="false">Энергетика!A2&amp;" "&amp;Энергетика!B2&amp;"×"&amp;Энергетика!C2</f>
        <v>культиватор 0.08×3.6</v>
      </c>
      <c r="B2" s="11" t="n">
        <f aca="false">0.1*Энергетика!D2*Энергетика!C2</f>
        <v>0.432</v>
      </c>
      <c r="C2" s="12" t="n">
        <f aca="false">10000/(Энергетика!D2*L_run_m)</f>
        <v>27.7777777777778</v>
      </c>
      <c r="D2" s="11" t="n">
        <f aca="false">1/B2+C2*turn_t/3600</f>
        <v>2.56322530864198</v>
      </c>
      <c r="E2" s="12" t="n">
        <f aca="false">Энергетика!L2/B2+C2*turn_P*turn_t/3600</f>
        <v>18.2375267307204</v>
      </c>
      <c r="F2" s="12" t="n">
        <f aca="false">E2/D2</f>
        <v>7.1150697011426</v>
      </c>
      <c r="G2" s="12" t="n">
        <f aca="false">E_use/F2</f>
        <v>2.23160146940657</v>
      </c>
      <c r="H2" s="11" t="n">
        <f aca="false">G2/D2</f>
        <v>0.870622438801097</v>
      </c>
      <c r="I2" s="12" t="n">
        <f aca="false">(E_use-2*E_tr)/F2</f>
        <v>2.11660866504227</v>
      </c>
      <c r="J2" s="12" t="n">
        <f aca="false">MAX(0,MIN(I2,T_av-2*t_tr))</f>
        <v>2.11660866504227</v>
      </c>
      <c r="K2" s="19" t="b">
        <f aca="false">AND(T_av-(t_tr+J2)-t_tr&gt;0.000001,T_av-(t_tr+J2)-2*t_tr-t_ch&gt;=0.25)</f>
        <v>0</v>
      </c>
      <c r="L2" s="12" t="n">
        <f aca="false">IF(K2,MAX(0,MIN(I2,T_av-(t_tr+J2+2*t_tr+t_ch)-t_tr)),0)</f>
        <v>0</v>
      </c>
      <c r="M2" s="19" t="b">
        <f aca="false">AND(K2,L2&gt;0,T_av-(t_tr+J2+2*t_tr+t_ch+L2)-t_tr&gt;0.000001,T_av-(t_tr+J2+2*t_tr+t_ch+L2)-2*t_tr-t_ch&gt;=0.25)</f>
        <v>0</v>
      </c>
      <c r="N2" s="12" t="n">
        <f aca="false">IF(M2,MAX(0,MIN(I2,T_av-((t_tr+J2+2*t_tr+t_ch+L2)+2*t_tr+t_ch)-t_tr)),0)</f>
        <v>0</v>
      </c>
      <c r="O2" s="14" t="n">
        <f aca="false">K2*1+M2*1</f>
        <v>0</v>
      </c>
      <c r="P2" s="11" t="n">
        <f aca="false">(J2+L2+N2)/D2</f>
        <v>0.825759896293969</v>
      </c>
      <c r="Q2" s="12" t="n">
        <f aca="false">(E2+E_tr*(2+2*O2)/P2)/(eta_ch*eta_bat)</f>
        <v>22.0004000393505</v>
      </c>
      <c r="R2" s="12" t="n">
        <f aca="false">Энергетика!T2/B2+C2*turn_t/3600*Q_turn</f>
        <v>7.49761116207864</v>
      </c>
      <c r="S2" s="12" t="n">
        <f aca="false">R2/D2</f>
        <v>2.92506910602056</v>
      </c>
      <c r="T2" s="12" t="n">
        <f aca="false">tank_D/S2</f>
        <v>7.52118982581241</v>
      </c>
      <c r="U2" s="12" t="n">
        <f aca="false">MAX(0,((T_av-2*t_tr)*S2+2*t_tr*Q_tr)/tank_D-1)</f>
        <v>0</v>
      </c>
      <c r="V2" s="11" t="n">
        <f aca="false">(T_av-2*t_tr-U2*t_refuel_h)/D2</f>
        <v>2.8207156997683</v>
      </c>
      <c r="W2" s="12" t="n">
        <f aca="false">R2+2*t_tr*Q_tr/V2</f>
        <v>7.62016302509141</v>
      </c>
      <c r="X2" s="11" t="n">
        <f aca="false">T2/D2</f>
        <v>2.93426793206767</v>
      </c>
    </row>
    <row r="3" customFormat="false" ht="15" hidden="false" customHeight="false" outlineLevel="0" collapsed="false">
      <c r="A3" s="17" t="str">
        <f aca="false">Энергетика!A3&amp;" "&amp;Энергетика!B3&amp;"×"&amp;Энергетика!C3</f>
        <v>культиватор 0.08×4.5</v>
      </c>
      <c r="B3" s="11" t="n">
        <f aca="false">0.1*Энергетика!D3*Энергетика!C3</f>
        <v>0.54</v>
      </c>
      <c r="C3" s="12" t="n">
        <f aca="false">10000/(Энергетика!D3*L_run_m)</f>
        <v>27.7777777777778</v>
      </c>
      <c r="D3" s="11" t="n">
        <f aca="false">1/B3+C3*turn_t/3600</f>
        <v>2.10026234567901</v>
      </c>
      <c r="E3" s="12" t="n">
        <f aca="false">Энергетика!L3/B3+C3*turn_P*turn_t/3600</f>
        <v>18.5282238113377</v>
      </c>
      <c r="F3" s="12" t="n">
        <f aca="false">E3/D3</f>
        <v>8.82186163526517</v>
      </c>
      <c r="G3" s="12" t="n">
        <f aca="false">E_use/F3</f>
        <v>1.79984686412765</v>
      </c>
      <c r="H3" s="11" t="n">
        <f aca="false">G3/D3</f>
        <v>0.856962877914072</v>
      </c>
      <c r="I3" s="12" t="n">
        <f aca="false">(E_use-2*E_tr)/F3</f>
        <v>1.70710206127207</v>
      </c>
      <c r="J3" s="12" t="n">
        <f aca="false">MAX(0,MIN(I3,T_av-2*t_tr))</f>
        <v>1.70710206127207</v>
      </c>
      <c r="K3" s="19" t="b">
        <f aca="false">AND(T_av-(t_tr+J3)-t_tr&gt;0.000001,T_av-(t_tr+J3)-2*t_tr-t_ch&gt;=0.25)</f>
        <v>1</v>
      </c>
      <c r="L3" s="12" t="n">
        <f aca="false">IF(K3,MAX(0,MIN(I3,T_av-(t_tr+J3+2*t_tr+t_ch)-t_tr)),0)</f>
        <v>0.202572520439123</v>
      </c>
      <c r="M3" s="19" t="b">
        <f aca="false">AND(K3,L3&gt;0,T_av-(t_tr+J3+2*t_tr+t_ch+L3)-t_tr&gt;0.000001,T_av-(t_tr+J3+2*t_tr+t_ch+L3)-2*t_tr-t_ch&gt;=0.25)</f>
        <v>0</v>
      </c>
      <c r="N3" s="12" t="n">
        <f aca="false">IF(M3,MAX(0,MIN(I3,T_av-((t_tr+J3+2*t_tr+t_ch+L3)+2*t_tr+t_ch)-t_tr)),0)</f>
        <v>0</v>
      </c>
      <c r="O3" s="14" t="n">
        <f aca="false">K3*1+M3*1</f>
        <v>1</v>
      </c>
      <c r="P3" s="11" t="n">
        <f aca="false">(J3+L3+N3)/D3</f>
        <v>0.909255258344309</v>
      </c>
      <c r="Q3" s="12" t="n">
        <f aca="false">(E3+E_tr*(2+2*O3)/P3)/(eta_ch*eta_bat)</f>
        <v>23.258465055646</v>
      </c>
      <c r="R3" s="12" t="n">
        <f aca="false">Энергетика!T3/B3+C3*turn_t/3600*Q_turn</f>
        <v>6.82143883700441</v>
      </c>
      <c r="S3" s="12" t="n">
        <f aca="false">R3/D3</f>
        <v>3.24789845946557</v>
      </c>
      <c r="T3" s="12" t="n">
        <f aca="false">tank_D/S3</f>
        <v>6.77361077464842</v>
      </c>
      <c r="U3" s="12" t="n">
        <f aca="false">MAX(0,((T_av-2*t_tr)*S3+2*t_tr*Q_tr)/tank_D-1)</f>
        <v>0.0831096195893988</v>
      </c>
      <c r="V3" s="11" t="n">
        <f aca="false">(T_av-2*t_tr-U3*t_refuel_h)/D3</f>
        <v>3.4365532677576</v>
      </c>
      <c r="W3" s="12" t="n">
        <f aca="false">R3+2*t_tr*Q_tr/V3</f>
        <v>6.92202914860506</v>
      </c>
      <c r="X3" s="11" t="n">
        <f aca="false">T3/D3</f>
        <v>3.22512603655641</v>
      </c>
    </row>
    <row r="4" customFormat="false" ht="15" hidden="false" customHeight="false" outlineLevel="0" collapsed="false">
      <c r="A4" s="17" t="str">
        <f aca="false">Энергетика!A4&amp;" "&amp;Энергетика!B4&amp;"×"&amp;Энергетика!C4</f>
        <v>культиватор 0.08×5.4</v>
      </c>
      <c r="B4" s="11" t="n">
        <f aca="false">0.1*Энергетика!D4*Энергетика!C4</f>
        <v>0.648</v>
      </c>
      <c r="C4" s="12" t="n">
        <f aca="false">10000/(Энергетика!D4*L_run_m)</f>
        <v>27.7777777777778</v>
      </c>
      <c r="D4" s="11" t="n">
        <f aca="false">1/B4+C4*turn_t/3600</f>
        <v>1.79162037037037</v>
      </c>
      <c r="E4" s="12" t="n">
        <f aca="false">Энергетика!L4/B4+C4*turn_P*turn_t/3600</f>
        <v>18.9334715787338</v>
      </c>
      <c r="F4" s="12" t="n">
        <f aca="false">E4/D4</f>
        <v>10.5677920902517</v>
      </c>
      <c r="G4" s="12" t="n">
        <f aca="false">E_use/F4</f>
        <v>1.50248981664266</v>
      </c>
      <c r="H4" s="11" t="n">
        <f aca="false">G4/D4</f>
        <v>0.838620637212366</v>
      </c>
      <c r="I4" s="12" t="n">
        <f aca="false">(E_use-2*E_tr)/F4</f>
        <v>1.42506760666783</v>
      </c>
      <c r="J4" s="12" t="n">
        <f aca="false">MAX(0,MIN(I4,T_av-2*t_tr))</f>
        <v>1.42506760666783</v>
      </c>
      <c r="K4" s="19" t="b">
        <f aca="false">AND(T_av-(t_tr+J4)-t_tr&gt;0.000001,T_av-(t_tr+J4)-2*t_tr-t_ch&gt;=0.25)</f>
        <v>1</v>
      </c>
      <c r="L4" s="12" t="n">
        <f aca="false">IF(K4,MAX(0,MIN(I4,T_av-(t_tr+J4+2*t_tr+t_ch)-t_tr)),0)</f>
        <v>0.48460697504337</v>
      </c>
      <c r="M4" s="19" t="b">
        <f aca="false">AND(K4,L4&gt;0,T_av-(t_tr+J4+2*t_tr+t_ch+L4)-t_tr&gt;0.000001,T_av-(t_tr+J4+2*t_tr+t_ch+L4)-2*t_tr-t_ch&gt;=0.25)</f>
        <v>0</v>
      </c>
      <c r="N4" s="12" t="n">
        <f aca="false">IF(M4,MAX(0,MIN(I4,T_av-((t_tr+J4+2*t_tr+t_ch+L4)+2*t_tr+t_ch)-t_tr)),0)</f>
        <v>0</v>
      </c>
      <c r="O4" s="14" t="n">
        <f aca="false">K4*1+M4*1</f>
        <v>1</v>
      </c>
      <c r="P4" s="11" t="n">
        <f aca="false">(J4+L4+N4)/D4</f>
        <v>1.06589242525548</v>
      </c>
      <c r="Q4" s="12" t="n">
        <f aca="false">(E4+E_tr*(2+2*O4)/P4)/(eta_ch*eta_bat)</f>
        <v>23.4195386940265</v>
      </c>
      <c r="R4" s="12" t="n">
        <f aca="false">Энергетика!T4/B4+C4*turn_t/3600*Q_turn</f>
        <v>6.41337486460732</v>
      </c>
      <c r="S4" s="12" t="n">
        <f aca="false">R4/D4</f>
        <v>3.5796505613974</v>
      </c>
      <c r="T4" s="12" t="n">
        <f aca="false">tank_D/S4</f>
        <v>6.14585128426942</v>
      </c>
      <c r="U4" s="12" t="n">
        <f aca="false">MAX(0,((T_av-2*t_tr)*S4+2*t_tr*Q_tr)/tank_D-1)</f>
        <v>0.192137382391932</v>
      </c>
      <c r="V4" s="11" t="n">
        <f aca="false">(T_av-2*t_tr-U4*t_refuel_h)/D4</f>
        <v>4.01943926395657</v>
      </c>
      <c r="W4" s="12" t="n">
        <f aca="false">R4+2*t_tr*Q_tr/V4</f>
        <v>6.49937789670581</v>
      </c>
      <c r="X4" s="11" t="n">
        <f aca="false">T4/D4</f>
        <v>3.43033121631617</v>
      </c>
    </row>
    <row r="5" customFormat="false" ht="15" hidden="false" customHeight="false" outlineLevel="0" collapsed="false">
      <c r="A5" s="17" t="str">
        <f aca="false">Энергетика!A5&amp;" "&amp;Энергетика!B5&amp;"×"&amp;Энергетика!C5</f>
        <v>культиватор 0.11×3.6</v>
      </c>
      <c r="B5" s="11" t="n">
        <f aca="false">0.1*Энергетика!D5*Энергетика!C5</f>
        <v>0.432</v>
      </c>
      <c r="C5" s="12" t="n">
        <f aca="false">10000/(Энергетика!D5*L_run_m)</f>
        <v>27.7777777777778</v>
      </c>
      <c r="D5" s="11" t="n">
        <f aca="false">1/B5+C5*turn_t/3600</f>
        <v>2.56322530864198</v>
      </c>
      <c r="E5" s="12" t="n">
        <f aca="false">Энергетика!L5/B5+C5*turn_P*turn_t/3600</f>
        <v>23.1793886621416</v>
      </c>
      <c r="F5" s="12" t="n">
        <f aca="false">E5/D5</f>
        <v>9.04305547545578</v>
      </c>
      <c r="G5" s="12" t="n">
        <f aca="false">E_use/F5</f>
        <v>1.75582246986047</v>
      </c>
      <c r="H5" s="11" t="n">
        <f aca="false">G5/D5</f>
        <v>0.685005123794881</v>
      </c>
      <c r="I5" s="12" t="n">
        <f aca="false">(E_use-2*E_tr)/F5</f>
        <v>1.66534621209533</v>
      </c>
      <c r="J5" s="12" t="n">
        <f aca="false">MAX(0,MIN(I5,T_av-2*t_tr))</f>
        <v>1.66534621209533</v>
      </c>
      <c r="K5" s="19" t="b">
        <f aca="false">AND(T_av-(t_tr+J5)-t_tr&gt;0.000001,T_av-(t_tr+J5)-2*t_tr-t_ch&gt;=0.25)</f>
        <v>1</v>
      </c>
      <c r="L5" s="12" t="n">
        <f aca="false">IF(K5,MAX(0,MIN(I5,T_av-(t_tr+J5+2*t_tr+t_ch)-t_tr)),0)</f>
        <v>0.244328369615869</v>
      </c>
      <c r="M5" s="19" t="b">
        <f aca="false">AND(K5,L5&gt;0,T_av-(t_tr+J5+2*t_tr+t_ch+L5)-t_tr&gt;0.000001,T_av-(t_tr+J5+2*t_tr+t_ch+L5)-2*t_tr-t_ch&gt;=0.25)</f>
        <v>0</v>
      </c>
      <c r="N5" s="12" t="n">
        <f aca="false">IF(M5,MAX(0,MIN(I5,T_av-((t_tr+J5+2*t_tr+t_ch+L5)+2*t_tr+t_ch)-t_tr)),0)</f>
        <v>0</v>
      </c>
      <c r="O5" s="14" t="n">
        <f aca="false">K5*1+M5*1</f>
        <v>1</v>
      </c>
      <c r="P5" s="11" t="n">
        <f aca="false">(J5+L5+N5)/D5</f>
        <v>0.745027983015259</v>
      </c>
      <c r="Q5" s="12" t="n">
        <f aca="false">(E5+E_tr*(2+2*O5)/P5)/(eta_ch*eta_bat)</f>
        <v>29.0340588336566</v>
      </c>
      <c r="R5" s="12" t="n">
        <f aca="false">Энергетика!T5/B5+C5*turn_t/3600*Q_turn</f>
        <v>8.50944954756943</v>
      </c>
      <c r="S5" s="12" t="n">
        <f aca="false">R5/D5</f>
        <v>3.31982113272665</v>
      </c>
      <c r="T5" s="12" t="n">
        <f aca="false">tank_D/S5</f>
        <v>6.62686305088095</v>
      </c>
      <c r="U5" s="12" t="n">
        <f aca="false">MAX(0,((T_av-2*t_tr)*S5+2*t_tr*Q_tr)/tank_D-1)</f>
        <v>0.106746449965969</v>
      </c>
      <c r="V5" s="11" t="n">
        <f aca="false">(T_av-2*t_tr-U5*t_refuel_h)/D5</f>
        <v>2.81446889522837</v>
      </c>
      <c r="W5" s="12" t="n">
        <f aca="false">R5+2*t_tr*Q_tr/V5</f>
        <v>8.63227341839708</v>
      </c>
      <c r="X5" s="11" t="n">
        <f aca="false">T5/D5</f>
        <v>2.5853611184855</v>
      </c>
    </row>
    <row r="6" customFormat="false" ht="15" hidden="false" customHeight="false" outlineLevel="0" collapsed="false">
      <c r="A6" s="17" t="str">
        <f aca="false">Энергетика!A6&amp;" "&amp;Энергетика!B6&amp;"×"&amp;Энергетика!C6</f>
        <v>культиватор 0.11×4.5</v>
      </c>
      <c r="B6" s="11" t="n">
        <f aca="false">0.1*Энергетика!D6*Энергетика!C6</f>
        <v>0.54</v>
      </c>
      <c r="C6" s="12" t="n">
        <f aca="false">10000/(Энергетика!D6*L_run_m)</f>
        <v>27.7777777777778</v>
      </c>
      <c r="D6" s="11" t="n">
        <f aca="false">1/B6+C6*turn_t/3600</f>
        <v>2.10026234567901</v>
      </c>
      <c r="E6" s="12" t="n">
        <f aca="false">Энергетика!L6/B6+C6*turn_P*turn_t/3600</f>
        <v>23.6724830070309</v>
      </c>
      <c r="F6" s="12" t="n">
        <f aca="false">E6/D6</f>
        <v>11.2712028836462</v>
      </c>
      <c r="G6" s="12" t="n">
        <f aca="false">E_use/F6</f>
        <v>1.40872275691514</v>
      </c>
      <c r="H6" s="11" t="n">
        <f aca="false">G6/D6</f>
        <v>0.670736567654695</v>
      </c>
      <c r="I6" s="12" t="n">
        <f aca="false">(E_use-2*E_tr)/F6</f>
        <v>1.33613229548631</v>
      </c>
      <c r="J6" s="12" t="n">
        <f aca="false">MAX(0,MIN(I6,T_av-2*t_tr))</f>
        <v>1.33613229548631</v>
      </c>
      <c r="K6" s="19" t="b">
        <f aca="false">AND(T_av-(t_tr+J6)-t_tr&gt;0.000001,T_av-(t_tr+J6)-2*t_tr-t_ch&gt;=0.25)</f>
        <v>1</v>
      </c>
      <c r="L6" s="12" t="n">
        <f aca="false">IF(K6,MAX(0,MIN(I6,T_av-(t_tr+J6+2*t_tr+t_ch)-t_tr)),0)</f>
        <v>0.573542286224883</v>
      </c>
      <c r="M6" s="19" t="b">
        <f aca="false">AND(K6,L6&gt;0,T_av-(t_tr+J6+2*t_tr+t_ch+L6)-t_tr&gt;0.000001,T_av-(t_tr+J6+2*t_tr+t_ch+L6)-2*t_tr-t_ch&gt;=0.25)</f>
        <v>0</v>
      </c>
      <c r="N6" s="12" t="n">
        <f aca="false">IF(M6,MAX(0,MIN(I6,T_av-((t_tr+J6+2*t_tr+t_ch+L6)+2*t_tr+t_ch)-t_tr)),0)</f>
        <v>0</v>
      </c>
      <c r="O6" s="14" t="n">
        <f aca="false">K6*1+M6*1</f>
        <v>1</v>
      </c>
      <c r="P6" s="11" t="n">
        <f aca="false">(J6+L6+N6)/D6</f>
        <v>0.909255258344309</v>
      </c>
      <c r="Q6" s="12" t="n">
        <f aca="false">(E6+E_tr*(2+2*O6)/P6)/(eta_ch*eta_bat)</f>
        <v>29.1443451422515</v>
      </c>
      <c r="R6" s="12" t="n">
        <f aca="false">Энергетика!T6/B6+C6*turn_t/3600*Q_turn</f>
        <v>7.87993674263816</v>
      </c>
      <c r="S6" s="12" t="n">
        <f aca="false">R6/D6</f>
        <v>3.75188212027416</v>
      </c>
      <c r="T6" s="12" t="n">
        <f aca="false">tank_D/S6</f>
        <v>5.86372367114572</v>
      </c>
      <c r="U6" s="12" t="n">
        <f aca="false">MAX(0,((T_av-2*t_tr)*S6+2*t_tr*Q_tr)/tank_D-1)</f>
        <v>0.248739952319835</v>
      </c>
      <c r="V6" s="11" t="n">
        <f aca="false">(T_av-2*t_tr-U6*t_refuel_h)/D6</f>
        <v>3.42472400749368</v>
      </c>
      <c r="W6" s="12" t="n">
        <f aca="false">R6+2*t_tr*Q_tr/V6</f>
        <v>7.98087450091578</v>
      </c>
      <c r="X6" s="11" t="n">
        <f aca="false">T6/D6</f>
        <v>2.79190058480527</v>
      </c>
    </row>
    <row r="7" customFormat="false" ht="15" hidden="false" customHeight="false" outlineLevel="0" collapsed="false">
      <c r="A7" s="17" t="str">
        <f aca="false">Энергетика!A7&amp;" "&amp;Энергетика!B7&amp;"×"&amp;Энергетика!C7</f>
        <v>культиватор 0.11×5.4</v>
      </c>
      <c r="B7" s="11" t="n">
        <f aca="false">0.1*Энергетика!D7*Энергетика!C7</f>
        <v>0.648</v>
      </c>
      <c r="C7" s="12" t="n">
        <f aca="false">10000/(Энергетика!D7*L_run_m)</f>
        <v>27.7777777777778</v>
      </c>
      <c r="D7" s="11" t="n">
        <f aca="false">1/B7+C7*turn_t/3600</f>
        <v>1.79162037037037</v>
      </c>
      <c r="E7" s="12" t="n">
        <f aca="false">Энергетика!L7/B7+C7*turn_P*turn_t/3600</f>
        <v>24.3342209361228</v>
      </c>
      <c r="F7" s="12" t="n">
        <f aca="false">E7/D7</f>
        <v>13.5822417173635</v>
      </c>
      <c r="G7" s="12" t="n">
        <f aca="false">E_use/F7</f>
        <v>1.16902646340785</v>
      </c>
      <c r="H7" s="11" t="n">
        <f aca="false">G7/D7</f>
        <v>0.652496746934274</v>
      </c>
      <c r="I7" s="12" t="n">
        <f aca="false">(E_use-2*E_tr)/F7</f>
        <v>1.10878737804863</v>
      </c>
      <c r="J7" s="12" t="n">
        <f aca="false">MAX(0,MIN(I7,T_av-2*t_tr))</f>
        <v>1.10878737804863</v>
      </c>
      <c r="K7" s="19" t="b">
        <f aca="false">AND(T_av-(t_tr+J7)-t_tr&gt;0.000001,T_av-(t_tr+J7)-2*t_tr-t_ch&gt;=0.25)</f>
        <v>1</v>
      </c>
      <c r="L7" s="12" t="n">
        <f aca="false">IF(K7,MAX(0,MIN(I7,T_av-(t_tr+J7+2*t_tr+t_ch)-t_tr)),0)</f>
        <v>0.80088720366257</v>
      </c>
      <c r="M7" s="19" t="b">
        <f aca="false">AND(K7,L7&gt;0,T_av-(t_tr+J7+2*t_tr+t_ch+L7)-t_tr&gt;0.000001,T_av-(t_tr+J7+2*t_tr+t_ch+L7)-2*t_tr-t_ch&gt;=0.25)</f>
        <v>0</v>
      </c>
      <c r="N7" s="12" t="n">
        <f aca="false">IF(M7,MAX(0,MIN(I7,T_av-((t_tr+J7+2*t_tr+t_ch+L7)+2*t_tr+t_ch)-t_tr)),0)</f>
        <v>0</v>
      </c>
      <c r="O7" s="14" t="n">
        <f aca="false">K7*1+M7*1</f>
        <v>1</v>
      </c>
      <c r="P7" s="11" t="n">
        <f aca="false">(J7+L7+N7)/D7</f>
        <v>1.06589242525548</v>
      </c>
      <c r="Q7" s="12" t="n">
        <f aca="false">(E7+E_tr*(2+2*O7)/P7)/(eta_ch*eta_bat)</f>
        <v>29.5988857848605</v>
      </c>
      <c r="R7" s="12" t="n">
        <f aca="false">Энергетика!T7/B7+C7*turn_t/3600*Q_turn</f>
        <v>7.53218207753902</v>
      </c>
      <c r="S7" s="12" t="n">
        <f aca="false">R7/D7</f>
        <v>4.20411723493741</v>
      </c>
      <c r="T7" s="12" t="n">
        <f aca="false">tank_D/S7</f>
        <v>5.23296539334673</v>
      </c>
      <c r="U7" s="12" t="n">
        <f aca="false">MAX(0,((T_av-2*t_tr)*S7+2*t_tr*Q_tr)/tank_D-1)</f>
        <v>0.397363525540216</v>
      </c>
      <c r="V7" s="11" t="n">
        <f aca="false">(T_av-2*t_tr-U7*t_refuel_h)/D7</f>
        <v>4.0022570963605</v>
      </c>
      <c r="W7" s="12" t="n">
        <f aca="false">R7+2*t_tr*Q_tr/V7</f>
        <v>7.61855433092333</v>
      </c>
      <c r="X7" s="11" t="n">
        <f aca="false">T7/D7</f>
        <v>2.92080034358224</v>
      </c>
    </row>
    <row r="8" customFormat="false" ht="15" hidden="false" customHeight="false" outlineLevel="0" collapsed="false">
      <c r="A8" s="17" t="str">
        <f aca="false">Энергетика!A8&amp;" "&amp;Энергетика!B8&amp;"×"&amp;Энергетика!C8</f>
        <v>культиватор 0.14×3.6</v>
      </c>
      <c r="B8" s="11" t="n">
        <f aca="false">0.1*Энергетика!D8*Энергетика!C8</f>
        <v>0.432</v>
      </c>
      <c r="C8" s="12" t="n">
        <f aca="false">10000/(Энергетика!D8*L_run_m)</f>
        <v>27.7777777777778</v>
      </c>
      <c r="D8" s="11" t="n">
        <f aca="false">1/B8+C8*turn_t/3600</f>
        <v>2.56322530864198</v>
      </c>
      <c r="E8" s="12" t="n">
        <f aca="false">Энергетика!L8/B8+C8*turn_P*turn_t/3600</f>
        <v>28.8943363571915</v>
      </c>
      <c r="F8" s="12" t="n">
        <f aca="false">E8/D8</f>
        <v>11.2726478861509</v>
      </c>
      <c r="G8" s="12" t="n">
        <f aca="false">E_use/F8</f>
        <v>1.4085421775222</v>
      </c>
      <c r="H8" s="11" t="n">
        <f aca="false">G8/D8</f>
        <v>0.549519456121655</v>
      </c>
      <c r="I8" s="12" t="n">
        <f aca="false">(E_use-2*E_tr)/F8</f>
        <v>1.33596102121845</v>
      </c>
      <c r="J8" s="12" t="n">
        <f aca="false">MAX(0,MIN(I8,T_av-2*t_tr))</f>
        <v>1.33596102121845</v>
      </c>
      <c r="K8" s="19" t="b">
        <f aca="false">AND(T_av-(t_tr+J8)-t_tr&gt;0.000001,T_av-(t_tr+J8)-2*t_tr-t_ch&gt;=0.25)</f>
        <v>1</v>
      </c>
      <c r="L8" s="12" t="n">
        <f aca="false">IF(K8,MAX(0,MIN(I8,T_av-(t_tr+J8+2*t_tr+t_ch)-t_tr)),0)</f>
        <v>0.573713560492743</v>
      </c>
      <c r="M8" s="19" t="b">
        <f aca="false">AND(K8,L8&gt;0,T_av-(t_tr+J8+2*t_tr+t_ch+L8)-t_tr&gt;0.000001,T_av-(t_tr+J8+2*t_tr+t_ch+L8)-2*t_tr-t_ch&gt;=0.25)</f>
        <v>0</v>
      </c>
      <c r="N8" s="12" t="n">
        <f aca="false">IF(M8,MAX(0,MIN(I8,T_av-((t_tr+J8+2*t_tr+t_ch+L8)+2*t_tr+t_ch)-t_tr)),0)</f>
        <v>0</v>
      </c>
      <c r="O8" s="14" t="n">
        <f aca="false">K8*1+M8*1</f>
        <v>1</v>
      </c>
      <c r="P8" s="11" t="n">
        <f aca="false">(J8+L8+N8)/D8</f>
        <v>0.745027983015259</v>
      </c>
      <c r="Q8" s="12" t="n">
        <f aca="false">(E8+E_tr*(2+2*O8)/P8)/(eta_ch*eta_bat)</f>
        <v>35.5729005900065</v>
      </c>
      <c r="R8" s="12" t="n">
        <f aca="false">Энергетика!T8/B8+C8*turn_t/3600*Q_turn</f>
        <v>9.7873800253201</v>
      </c>
      <c r="S8" s="12" t="n">
        <f aca="false">R8/D8</f>
        <v>3.81838459238121</v>
      </c>
      <c r="T8" s="12" t="n">
        <f aca="false">tank_D/S8</f>
        <v>5.76159877763398</v>
      </c>
      <c r="U8" s="12" t="n">
        <f aca="false">MAX(0,((T_av-2*t_tr)*S8+2*t_tr*Q_tr)/tank_D-1)</f>
        <v>0.270595475502502</v>
      </c>
      <c r="V8" s="11" t="n">
        <f aca="false">(T_av-2*t_tr-U8*t_refuel_h)/D8</f>
        <v>2.80488044674215</v>
      </c>
      <c r="W8" s="12" t="n">
        <f aca="false">R8+2*t_tr*Q_tr/V8</f>
        <v>9.91062376800349</v>
      </c>
      <c r="X8" s="11" t="n">
        <f aca="false">T8/D8</f>
        <v>2.24779255971319</v>
      </c>
    </row>
    <row r="9" customFormat="false" ht="15" hidden="false" customHeight="false" outlineLevel="0" collapsed="false">
      <c r="A9" s="17" t="str">
        <f aca="false">Энергетика!A9&amp;" "&amp;Энергетика!B9&amp;"×"&amp;Энергетика!C9</f>
        <v>культиватор 0.14×4.5</v>
      </c>
      <c r="B9" s="11" t="n">
        <f aca="false">0.1*Энергетика!D9*Энергетика!C9</f>
        <v>0.54</v>
      </c>
      <c r="C9" s="12" t="n">
        <f aca="false">10000/(Энергетика!D9*L_run_m)</f>
        <v>27.7777777777778</v>
      </c>
      <c r="D9" s="11" t="n">
        <f aca="false">1/B9+C9*turn_t/3600</f>
        <v>2.10026234567901</v>
      </c>
      <c r="E9" s="12" t="n">
        <f aca="false">Энергетика!L9/B9+C9*turn_P*turn_t/3600</f>
        <v>29.7086869764911</v>
      </c>
      <c r="F9" s="12" t="n">
        <f aca="false">E9/D9</f>
        <v>14.1452266844723</v>
      </c>
      <c r="G9" s="12" t="n">
        <f aca="false">E_use/F9</f>
        <v>1.1224988014812</v>
      </c>
      <c r="H9" s="11" t="n">
        <f aca="false">G9/D9</f>
        <v>0.534456471016861</v>
      </c>
      <c r="I9" s="12" t="n">
        <f aca="false">(E_use-2*E_tr)/F9</f>
        <v>1.06465725277842</v>
      </c>
      <c r="J9" s="12" t="n">
        <f aca="false">MAX(0,MIN(I9,T_av-2*t_tr))</f>
        <v>1.06465725277842</v>
      </c>
      <c r="K9" s="19" t="b">
        <f aca="false">AND(T_av-(t_tr+J9)-t_tr&gt;0.000001,T_av-(t_tr+J9)-2*t_tr-t_ch&gt;=0.25)</f>
        <v>1</v>
      </c>
      <c r="L9" s="12" t="n">
        <f aca="false">IF(K9,MAX(0,MIN(I9,T_av-(t_tr+J9+2*t_tr+t_ch)-t_tr)),0)</f>
        <v>0.845017328932779</v>
      </c>
      <c r="M9" s="19" t="b">
        <f aca="false">AND(K9,L9&gt;0,T_av-(t_tr+J9+2*t_tr+t_ch+L9)-t_tr&gt;0.000001,T_av-(t_tr+J9+2*t_tr+t_ch+L9)-2*t_tr-t_ch&gt;=0.25)</f>
        <v>0</v>
      </c>
      <c r="N9" s="12" t="n">
        <f aca="false">IF(M9,MAX(0,MIN(I9,T_av-((t_tr+J9+2*t_tr+t_ch+L9)+2*t_tr+t_ch)-t_tr)),0)</f>
        <v>0</v>
      </c>
      <c r="O9" s="14" t="n">
        <f aca="false">K9*1+M9*1</f>
        <v>1</v>
      </c>
      <c r="P9" s="11" t="n">
        <f aca="false">(J9+L9+N9)/D9</f>
        <v>0.909255258344309</v>
      </c>
      <c r="Q9" s="12" t="n">
        <f aca="false">(E9+E_tr*(2+2*O9)/P9)/(eta_ch*eta_bat)</f>
        <v>36.0507570066224</v>
      </c>
      <c r="R9" s="12" t="n">
        <f aca="false">Энергетика!T9/B9+C9*turn_t/3600*Q_turn</f>
        <v>9.25965176580941</v>
      </c>
      <c r="S9" s="12" t="n">
        <f aca="false">R9/D9</f>
        <v>4.40880720680434</v>
      </c>
      <c r="T9" s="12" t="n">
        <f aca="false">tank_D/S9</f>
        <v>4.99001180320298</v>
      </c>
      <c r="U9" s="12" t="n">
        <f aca="false">MAX(0,((T_av-2*t_tr)*S9+2*t_tr*Q_tr)/tank_D-1)</f>
        <v>0.46463330189072</v>
      </c>
      <c r="V9" s="11" t="n">
        <f aca="false">(T_av-2*t_tr-U9*t_refuel_h)/D9</f>
        <v>3.40930498019823</v>
      </c>
      <c r="W9" s="12" t="n">
        <f aca="false">R9+2*t_tr*Q_tr/V9</f>
        <v>9.36104602828923</v>
      </c>
      <c r="X9" s="11" t="n">
        <f aca="false">T9/D9</f>
        <v>2.3758992839486</v>
      </c>
    </row>
    <row r="10" customFormat="false" ht="15" hidden="false" customHeight="false" outlineLevel="0" collapsed="false">
      <c r="A10" s="17" t="str">
        <f aca="false">Энергетика!A10&amp;" "&amp;Энергетика!B10&amp;"×"&amp;Энергетика!C10</f>
        <v>фреза 0.08×1.8</v>
      </c>
      <c r="B10" s="11" t="n">
        <f aca="false">0.1*Энергетика!D10*Энергетика!C10</f>
        <v>0.225</v>
      </c>
      <c r="C10" s="12" t="n">
        <f aca="false">10000/(Энергетика!D10*L_run_m)</f>
        <v>26.6666666666667</v>
      </c>
      <c r="D10" s="11" t="n">
        <f aca="false">1/B10+C10*turn_t/3600</f>
        <v>4.68291851851852</v>
      </c>
      <c r="E10" s="12" t="n">
        <f aca="false">Энергетика!L10/B10+C10*turn_P*turn_t/3600</f>
        <v>33.7232099996778</v>
      </c>
      <c r="F10" s="12" t="n">
        <f aca="false">E10/D10</f>
        <v>7.20132324880734</v>
      </c>
      <c r="G10" s="12" t="n">
        <f aca="false">E_use/F10</f>
        <v>2.20487255625272</v>
      </c>
      <c r="H10" s="11" t="n">
        <f aca="false">G10/D10</f>
        <v>0.47083299603305</v>
      </c>
      <c r="I10" s="12" t="n">
        <f aca="false">(E_use-2*E_tr)/F10</f>
        <v>2.0912570733875</v>
      </c>
      <c r="J10" s="12" t="n">
        <f aca="false">MAX(0,MIN(I10,T_av-2*t_tr))</f>
        <v>2.0912570733875</v>
      </c>
      <c r="K10" s="19" t="b">
        <f aca="false">AND(T_av-(t_tr+J10)-t_tr&gt;0.000001,T_av-(t_tr+J10)-2*t_tr-t_ch&gt;=0.25)</f>
        <v>0</v>
      </c>
      <c r="L10" s="12" t="n">
        <f aca="false">IF(K10,MAX(0,MIN(I10,T_av-(t_tr+J10+2*t_tr+t_ch)-t_tr)),0)</f>
        <v>0</v>
      </c>
      <c r="M10" s="19" t="b">
        <f aca="false">AND(K10,L10&gt;0,T_av-(t_tr+J10+2*t_tr+t_ch+L10)-t_tr&gt;0.000001,T_av-(t_tr+J10+2*t_tr+t_ch+L10)-2*t_tr-t_ch&gt;=0.25)</f>
        <v>0</v>
      </c>
      <c r="N10" s="12" t="n">
        <f aca="false">IF(M10,MAX(0,MIN(I10,T_av-((t_tr+J10+2*t_tr+t_ch+L10)+2*t_tr+t_ch)-t_tr)),0)</f>
        <v>0</v>
      </c>
      <c r="O10" s="14" t="n">
        <f aca="false">K10*1+M10*1</f>
        <v>0</v>
      </c>
      <c r="P10" s="11" t="n">
        <f aca="false">(J10+L10+N10)/D10</f>
        <v>0.446571313405873</v>
      </c>
      <c r="Q10" s="12" t="n">
        <f aca="false">(E10+E_tr*(2+2*O10)/P10)/(eta_ch*eta_bat)</f>
        <v>40.6811801599279</v>
      </c>
      <c r="R10" s="12" t="n">
        <f aca="false">Энергетика!T10/B10+C10*turn_t/3600*Q_turn</f>
        <v>13.8558749088543</v>
      </c>
      <c r="S10" s="12" t="n">
        <f aca="false">R10/D10</f>
        <v>2.95881187213945</v>
      </c>
      <c r="T10" s="12" t="n">
        <f aca="false">tank_D/S10</f>
        <v>7.43541696826175</v>
      </c>
      <c r="U10" s="12" t="n">
        <f aca="false">MAX(0,((T_av-2*t_tr)*S10+2*t_tr*Q_tr)/tank_D-1)</f>
        <v>0</v>
      </c>
      <c r="V10" s="11" t="n">
        <f aca="false">(T_av-2*t_tr-U10*t_refuel_h)/D10</f>
        <v>1.54393672269514</v>
      </c>
      <c r="W10" s="12" t="n">
        <f aca="false">R10+2*t_tr*Q_tr/V10</f>
        <v>14.0797726625346</v>
      </c>
      <c r="X10" s="11" t="n">
        <f aca="false">T10/D10</f>
        <v>1.58777414957329</v>
      </c>
    </row>
    <row r="11" customFormat="false" ht="15" hidden="false" customHeight="false" outlineLevel="0" collapsed="false">
      <c r="A11" s="17" t="str">
        <f aca="false">Энергетика!A11&amp;" "&amp;Энергетика!B11&amp;"×"&amp;Энергетика!C11</f>
        <v>фреза 0.08×2.7</v>
      </c>
      <c r="B11" s="11" t="n">
        <f aca="false">0.1*Энергетика!D11*Энергетика!C11</f>
        <v>0.3375</v>
      </c>
      <c r="C11" s="12" t="n">
        <f aca="false">10000/(Энергетика!D11*L_run_m)</f>
        <v>26.6666666666667</v>
      </c>
      <c r="D11" s="11" t="n">
        <f aca="false">1/B11+C11*turn_t/3600</f>
        <v>3.20143703703704</v>
      </c>
      <c r="E11" s="12" t="n">
        <f aca="false">Энергетика!L11/B11+C11*turn_P*turn_t/3600</f>
        <v>29.9560070328147</v>
      </c>
      <c r="F11" s="12" t="n">
        <f aca="false">E11/D11</f>
        <v>9.35705018910485</v>
      </c>
      <c r="G11" s="12" t="n">
        <f aca="false">E_use/F11</f>
        <v>1.69690230137784</v>
      </c>
      <c r="H11" s="11" t="n">
        <f aca="false">G11/D11</f>
        <v>0.530043940188917</v>
      </c>
      <c r="I11" s="12" t="n">
        <f aca="false">(E_use-2*E_tr)/F11</f>
        <v>1.60946215713938</v>
      </c>
      <c r="J11" s="12" t="n">
        <f aca="false">MAX(0,MIN(I11,T_av-2*t_tr))</f>
        <v>1.60946215713938</v>
      </c>
      <c r="K11" s="19" t="b">
        <f aca="false">AND(T_av-(t_tr+J11)-t_tr&gt;0.000001,T_av-(t_tr+J11)-2*t_tr-t_ch&gt;=0.25)</f>
        <v>1</v>
      </c>
      <c r="L11" s="12" t="n">
        <f aca="false">IF(K11,MAX(0,MIN(I11,T_av-(t_tr+J11+2*t_tr+t_ch)-t_tr)),0)</f>
        <v>0.30021242457181</v>
      </c>
      <c r="M11" s="19" t="b">
        <f aca="false">AND(K11,L11&gt;0,T_av-(t_tr+J11+2*t_tr+t_ch+L11)-t_tr&gt;0.000001,T_av-(t_tr+J11+2*t_tr+t_ch+L11)-2*t_tr-t_ch&gt;=0.25)</f>
        <v>0</v>
      </c>
      <c r="N11" s="12" t="n">
        <f aca="false">IF(M11,MAX(0,MIN(I11,T_av-((t_tr+J11+2*t_tr+t_ch+L11)+2*t_tr+t_ch)-t_tr)),0)</f>
        <v>0</v>
      </c>
      <c r="O11" s="14" t="n">
        <f aca="false">K11*1+M11*1</f>
        <v>1</v>
      </c>
      <c r="P11" s="11" t="n">
        <f aca="false">(J11+L11+N11)/D11</f>
        <v>0.596505431660345</v>
      </c>
      <c r="Q11" s="12" t="n">
        <f aca="false">(E11+E_tr*(2+2*O11)/P11)/(eta_ch*eta_bat)</f>
        <v>37.413337778986</v>
      </c>
      <c r="R11" s="12" t="n">
        <f aca="false">Энергетика!T11/B11+C11*turn_t/3600*Q_turn</f>
        <v>10.7740821922474</v>
      </c>
      <c r="S11" s="12" t="n">
        <f aca="false">R11/D11</f>
        <v>3.3653893759594</v>
      </c>
      <c r="T11" s="12" t="n">
        <f aca="false">tank_D/S11</f>
        <v>6.53713360990459</v>
      </c>
      <c r="U11" s="12" t="n">
        <f aca="false">MAX(0,((T_av-2*t_tr)*S11+2*t_tr*Q_tr)/tank_D-1)</f>
        <v>0.121722100717169</v>
      </c>
      <c r="V11" s="11" t="n">
        <f aca="false">(T_av-2*t_tr-U11*t_refuel_h)/D11</f>
        <v>2.25269823257151</v>
      </c>
      <c r="W11" s="12" t="n">
        <f aca="false">R11+2*t_tr*Q_tr/V11</f>
        <v>10.9275354861852</v>
      </c>
      <c r="X11" s="11" t="n">
        <f aca="false">T11/D11</f>
        <v>2.04193727200544</v>
      </c>
    </row>
    <row r="12" customFormat="false" ht="15" hidden="false" customHeight="false" outlineLevel="0" collapsed="false">
      <c r="A12" s="17" t="str">
        <f aca="false">Энергетика!A12&amp;" "&amp;Энергетика!B12&amp;"×"&amp;Энергетика!C12</f>
        <v>фреза 0.08×3.6</v>
      </c>
      <c r="B12" s="11" t="n">
        <f aca="false">0.1*Энергетика!D12*Энергетика!C12</f>
        <v>0.45</v>
      </c>
      <c r="C12" s="12" t="n">
        <f aca="false">10000/(Энергетика!D12*L_run_m)</f>
        <v>26.6666666666667</v>
      </c>
      <c r="D12" s="11" t="n">
        <f aca="false">1/B12+C12*turn_t/3600</f>
        <v>2.4606962962963</v>
      </c>
      <c r="E12" s="12" t="n">
        <f aca="false">Энергетика!L12/B12+C12*turn_P*turn_t/3600</f>
        <v>27.0489522140997</v>
      </c>
      <c r="F12" s="12" t="n">
        <f aca="false">E12/D12</f>
        <v>10.9923976619188</v>
      </c>
      <c r="G12" s="12" t="n">
        <f aca="false">E_use/F12</f>
        <v>1.44445283807431</v>
      </c>
      <c r="H12" s="11" t="n">
        <f aca="false">G12/D12</f>
        <v>0.587009798912778</v>
      </c>
      <c r="I12" s="12" t="n">
        <f aca="false">(E_use-2*E_tr)/F12</f>
        <v>1.37002123149076</v>
      </c>
      <c r="J12" s="12" t="n">
        <f aca="false">MAX(0,MIN(I12,T_av-2*t_tr))</f>
        <v>1.37002123149076</v>
      </c>
      <c r="K12" s="19" t="b">
        <f aca="false">AND(T_av-(t_tr+J12)-t_tr&gt;0.000001,T_av-(t_tr+J12)-2*t_tr-t_ch&gt;=0.25)</f>
        <v>1</v>
      </c>
      <c r="L12" s="12" t="n">
        <f aca="false">IF(K12,MAX(0,MIN(I12,T_av-(t_tr+J12+2*t_tr+t_ch)-t_tr)),0)</f>
        <v>0.539653350220434</v>
      </c>
      <c r="M12" s="19" t="b">
        <f aca="false">AND(K12,L12&gt;0,T_av-(t_tr+J12+2*t_tr+t_ch+L12)-t_tr&gt;0.000001,T_av-(t_tr+J12+2*t_tr+t_ch+L12)-2*t_tr-t_ch&gt;=0.25)</f>
        <v>0</v>
      </c>
      <c r="N12" s="12" t="n">
        <f aca="false">IF(M12,MAX(0,MIN(I12,T_av-((t_tr+J12+2*t_tr+t_ch+L12)+2*t_tr+t_ch)-t_tr)),0)</f>
        <v>0</v>
      </c>
      <c r="O12" s="14" t="n">
        <f aca="false">K12*1+M12*1</f>
        <v>1</v>
      </c>
      <c r="P12" s="11" t="n">
        <f aca="false">(J12+L12+N12)/D12</f>
        <v>0.776070815640895</v>
      </c>
      <c r="Q12" s="12" t="n">
        <f aca="false">(E12+E_tr*(2+2*O12)/P12)/(eta_ch*eta_bat)</f>
        <v>33.3609563183467</v>
      </c>
      <c r="R12" s="12" t="n">
        <f aca="false">Энергетика!T12/B12+C12*turn_t/3600*Q_turn</f>
        <v>9.03504526823305</v>
      </c>
      <c r="S12" s="12" t="n">
        <f aca="false">R12/D12</f>
        <v>3.67174335241293</v>
      </c>
      <c r="T12" s="12" t="n">
        <f aca="false">tank_D/S12</f>
        <v>5.9917041820318</v>
      </c>
      <c r="U12" s="12" t="n">
        <f aca="false">MAX(0,((T_av-2*t_tr)*S12+2*t_tr*Q_tr)/tank_D-1)</f>
        <v>0.222402965989431</v>
      </c>
      <c r="V12" s="11" t="n">
        <f aca="false">(T_av-2*t_tr-U12*t_refuel_h)/D12</f>
        <v>2.92468820149144</v>
      </c>
      <c r="W12" s="12" t="n">
        <f aca="false">R12+2*t_tr*Q_tr/V12</f>
        <v>9.15324041938101</v>
      </c>
      <c r="X12" s="11" t="n">
        <f aca="false">T12/D12</f>
        <v>2.4349628969045</v>
      </c>
    </row>
    <row r="13" customFormat="false" ht="15" hidden="false" customHeight="false" outlineLevel="0" collapsed="false">
      <c r="A13" s="17" t="str">
        <f aca="false">Энергетика!A13&amp;" "&amp;Энергетика!B13&amp;"×"&amp;Энергетика!C13</f>
        <v>фреза 0.12×1.8</v>
      </c>
      <c r="B13" s="11" t="n">
        <f aca="false">0.1*Энергетика!D13*Энергетика!C13</f>
        <v>0.225</v>
      </c>
      <c r="C13" s="12" t="n">
        <f aca="false">10000/(Энергетика!D13*L_run_m)</f>
        <v>26.6666666666667</v>
      </c>
      <c r="D13" s="11" t="n">
        <f aca="false">1/B13+C13*turn_t/3600</f>
        <v>4.68291851851852</v>
      </c>
      <c r="E13" s="12" t="n">
        <f aca="false">Энергетика!L13/B13+C13*turn_P*turn_t/3600</f>
        <v>44.996769126354</v>
      </c>
      <c r="F13" s="12" t="n">
        <f aca="false">E13/D13</f>
        <v>9.60870212633746</v>
      </c>
      <c r="G13" s="12" t="n">
        <f aca="false">E_use/F13</f>
        <v>1.6524604250639</v>
      </c>
      <c r="H13" s="11" t="n">
        <f aca="false">G13/D13</f>
        <v>0.352869779503802</v>
      </c>
      <c r="I13" s="12" t="n">
        <f aca="false">(E_use-2*E_tr)/F13</f>
        <v>1.5673103384628</v>
      </c>
      <c r="J13" s="12" t="n">
        <f aca="false">MAX(0,MIN(I13,T_av-2*t_tr))</f>
        <v>1.5673103384628</v>
      </c>
      <c r="K13" s="19" t="b">
        <f aca="false">AND(T_av-(t_tr+J13)-t_tr&gt;0.000001,T_av-(t_tr+J13)-2*t_tr-t_ch&gt;=0.25)</f>
        <v>1</v>
      </c>
      <c r="L13" s="12" t="n">
        <f aca="false">IF(K13,MAX(0,MIN(I13,T_av-(t_tr+J13+2*t_tr+t_ch)-t_tr)),0)</f>
        <v>0.342364243248396</v>
      </c>
      <c r="M13" s="19" t="b">
        <f aca="false">AND(K13,L13&gt;0,T_av-(t_tr+J13+2*t_tr+t_ch+L13)-t_tr&gt;0.000001,T_av-(t_tr+J13+2*t_tr+t_ch+L13)-2*t_tr-t_ch&gt;=0.25)</f>
        <v>0</v>
      </c>
      <c r="N13" s="12" t="n">
        <f aca="false">IF(M13,MAX(0,MIN(I13,T_av-((t_tr+J13+2*t_tr+t_ch+L13)+2*t_tr+t_ch)-t_tr)),0)</f>
        <v>0</v>
      </c>
      <c r="O13" s="14" t="n">
        <f aca="false">K13*1+M13*1</f>
        <v>1</v>
      </c>
      <c r="P13" s="11" t="n">
        <f aca="false">(J13+L13+N13)/D13</f>
        <v>0.40779581668129</v>
      </c>
      <c r="Q13" s="12" t="n">
        <f aca="false">(E13+E_tr*(2+2*O13)/P13)/(eta_ch*eta_bat)</f>
        <v>56.0749112907788</v>
      </c>
      <c r="R13" s="12" t="n">
        <f aca="false">Энергетика!T13/B13+C13*turn_t/3600*Q_turn</f>
        <v>16.0384359557788</v>
      </c>
      <c r="S13" s="12" t="n">
        <f aca="false">R13/D13</f>
        <v>3.42488042282929</v>
      </c>
      <c r="T13" s="12" t="n">
        <f aca="false">tank_D/S13</f>
        <v>6.42358193102282</v>
      </c>
      <c r="U13" s="12" t="n">
        <f aca="false">MAX(0,((T_av-2*t_tr)*S13+2*t_tr*Q_tr)/tank_D-1)</f>
        <v>0.141273373216228</v>
      </c>
      <c r="V13" s="11" t="n">
        <f aca="false">(T_av-2*t_tr-U13*t_refuel_h)/D13</f>
        <v>1.53941155192853</v>
      </c>
      <c r="W13" s="12" t="n">
        <f aca="false">R13+2*t_tr*Q_tr/V13</f>
        <v>16.2629918671612</v>
      </c>
      <c r="X13" s="11" t="n">
        <f aca="false">T13/D13</f>
        <v>1.3717048258732</v>
      </c>
    </row>
    <row r="14" customFormat="false" ht="15" hidden="false" customHeight="false" outlineLevel="0" collapsed="false">
      <c r="A14" s="17" t="str">
        <f aca="false">Энергетика!A14&amp;" "&amp;Энергетика!B14&amp;"×"&amp;Энергетика!C14</f>
        <v>фреза 0.12×2.7</v>
      </c>
      <c r="B14" s="11" t="n">
        <f aca="false">0.1*Энергетика!D14*Энергетика!C14</f>
        <v>0.3375</v>
      </c>
      <c r="C14" s="12" t="n">
        <f aca="false">10000/(Энергетика!D14*L_run_m)</f>
        <v>26.6666666666667</v>
      </c>
      <c r="D14" s="11" t="n">
        <f aca="false">1/B14+C14*turn_t/3600</f>
        <v>3.20143703703704</v>
      </c>
      <c r="E14" s="12" t="n">
        <f aca="false">Энергетика!L14/B14+C14*turn_P*turn_t/3600</f>
        <v>40.2061128242074</v>
      </c>
      <c r="F14" s="12" t="n">
        <f aca="false">E14/D14</f>
        <v>12.5587704393583</v>
      </c>
      <c r="G14" s="12" t="n">
        <f aca="false">E_use/F14</f>
        <v>1.26429574269783</v>
      </c>
      <c r="H14" s="11" t="n">
        <f aca="false">G14/D14</f>
        <v>0.394915073472115</v>
      </c>
      <c r="I14" s="12" t="n">
        <f aca="false">(E_use-2*E_tr)/F14</f>
        <v>1.19914750050863</v>
      </c>
      <c r="J14" s="12" t="n">
        <f aca="false">MAX(0,MIN(I14,T_av-2*t_tr))</f>
        <v>1.19914750050863</v>
      </c>
      <c r="K14" s="19" t="b">
        <f aca="false">AND(T_av-(t_tr+J14)-t_tr&gt;0.000001,T_av-(t_tr+J14)-2*t_tr-t_ch&gt;=0.25)</f>
        <v>1</v>
      </c>
      <c r="L14" s="12" t="n">
        <f aca="false">IF(K14,MAX(0,MIN(I14,T_av-(t_tr+J14+2*t_tr+t_ch)-t_tr)),0)</f>
        <v>0.710527081202561</v>
      </c>
      <c r="M14" s="19" t="b">
        <f aca="false">AND(K14,L14&gt;0,T_av-(t_tr+J14+2*t_tr+t_ch+L14)-t_tr&gt;0.000001,T_av-(t_tr+J14+2*t_tr+t_ch+L14)-2*t_tr-t_ch&gt;=0.25)</f>
        <v>0</v>
      </c>
      <c r="N14" s="12" t="n">
        <f aca="false">IF(M14,MAX(0,MIN(I14,T_av-((t_tr+J14+2*t_tr+t_ch+L14)+2*t_tr+t_ch)-t_tr)),0)</f>
        <v>0</v>
      </c>
      <c r="O14" s="14" t="n">
        <f aca="false">K14*1+M14*1</f>
        <v>1</v>
      </c>
      <c r="P14" s="11" t="n">
        <f aca="false">(J14+L14+N14)/D14</f>
        <v>0.596505431660346</v>
      </c>
      <c r="Q14" s="12" t="n">
        <f aca="false">(E14+E_tr*(2+2*O14)/P14)/(eta_ch*eta_bat)</f>
        <v>49.1411476089548</v>
      </c>
      <c r="R14" s="12" t="n">
        <f aca="false">Энергетика!T14/B14+C14*turn_t/3600*Q_turn</f>
        <v>12.758502673461</v>
      </c>
      <c r="S14" s="12" t="n">
        <f aca="false">R14/D14</f>
        <v>3.98524241640846</v>
      </c>
      <c r="T14" s="12" t="n">
        <f aca="false">tank_D/S14</f>
        <v>5.52036681869572</v>
      </c>
      <c r="U14" s="12" t="n">
        <f aca="false">MAX(0,((T_av-2*t_tr)*S14+2*t_tr*Q_tr)/tank_D-1)</f>
        <v>0.32543200902815</v>
      </c>
      <c r="V14" s="11" t="n">
        <f aca="false">(T_av-2*t_tr-U14*t_refuel_h)/D14</f>
        <v>2.24315361685889</v>
      </c>
      <c r="W14" s="12" t="n">
        <f aca="false">R14+2*t_tr*Q_tr/V14</f>
        <v>12.9126089109643</v>
      </c>
      <c r="X14" s="11" t="n">
        <f aca="false">T14/D14</f>
        <v>1.72434027433033</v>
      </c>
    </row>
    <row r="15" customFormat="false" ht="15" hidden="false" customHeight="false" outlineLevel="0" collapsed="false">
      <c r="A15" s="17" t="str">
        <f aca="false">Энергетика!A15&amp;" "&amp;Энергетика!B15&amp;"×"&amp;Энергетика!C15</f>
        <v>фреза 0.12×3.6</v>
      </c>
      <c r="B15" s="11" t="n">
        <f aca="false">0.1*Энергетика!D15*Энергетика!C15</f>
        <v>0.45</v>
      </c>
      <c r="C15" s="12" t="n">
        <f aca="false">10000/(Энергетика!D15*L_run_m)</f>
        <v>26.6666666666667</v>
      </c>
      <c r="D15" s="11" t="n">
        <f aca="false">1/B15+C15*turn_t/3600</f>
        <v>2.4606962962963</v>
      </c>
      <c r="E15" s="12" t="n">
        <f aca="false">Энергетика!L15/B15+C15*turn_P*turn_t/3600</f>
        <v>36.275604670209</v>
      </c>
      <c r="F15" s="12" t="n">
        <f aca="false">E15/D15</f>
        <v>14.7420080750351</v>
      </c>
      <c r="G15" s="12" t="n">
        <f aca="false">E_use/F15</f>
        <v>1.07705815375916</v>
      </c>
      <c r="H15" s="11" t="n">
        <f aca="false">G15/D15</f>
        <v>0.437704626686476</v>
      </c>
      <c r="I15" s="12" t="n">
        <f aca="false">(E_use-2*E_tr)/F15</f>
        <v>1.02155812865964</v>
      </c>
      <c r="J15" s="12" t="n">
        <f aca="false">MAX(0,MIN(I15,T_av-2*t_tr))</f>
        <v>1.02155812865964</v>
      </c>
      <c r="K15" s="19" t="b">
        <f aca="false">AND(T_av-(t_tr+J15)-t_tr&gt;0.000001,T_av-(t_tr+J15)-2*t_tr-t_ch&gt;=0.25)</f>
        <v>1</v>
      </c>
      <c r="L15" s="12" t="n">
        <f aca="false">IF(K15,MAX(0,MIN(I15,T_av-(t_tr+J15+2*t_tr+t_ch)-t_tr)),0)</f>
        <v>0.888116453051555</v>
      </c>
      <c r="M15" s="19" t="b">
        <f aca="false">AND(K15,L15&gt;0,T_av-(t_tr+J15+2*t_tr+t_ch+L15)-t_tr&gt;0.000001,T_av-(t_tr+J15+2*t_tr+t_ch+L15)-2*t_tr-t_ch&gt;=0.25)</f>
        <v>0</v>
      </c>
      <c r="N15" s="12" t="n">
        <f aca="false">IF(M15,MAX(0,MIN(I15,T_av-((t_tr+J15+2*t_tr+t_ch+L15)+2*t_tr+t_ch)-t_tr)),0)</f>
        <v>0</v>
      </c>
      <c r="O15" s="14" t="n">
        <f aca="false">K15*1+M15*1</f>
        <v>1</v>
      </c>
      <c r="P15" s="11" t="n">
        <f aca="false">(J15+L15+N15)/D15</f>
        <v>0.776070815640895</v>
      </c>
      <c r="Q15" s="12" t="n">
        <f aca="false">(E15+E_tr*(2+2*O15)/P15)/(eta_ch*eta_bat)</f>
        <v>43.9177669088608</v>
      </c>
      <c r="R15" s="12" t="n">
        <f aca="false">Энергетика!T15/B15+C15*turn_t/3600*Q_turn</f>
        <v>10.8213251837358</v>
      </c>
      <c r="S15" s="12" t="n">
        <f aca="false">R15/D15</f>
        <v>4.39766792839225</v>
      </c>
      <c r="T15" s="12" t="n">
        <f aca="false">tank_D/S15</f>
        <v>5.00265148670355</v>
      </c>
      <c r="U15" s="12" t="n">
        <f aca="false">MAX(0,((T_av-2*t_tr)*S15+2*t_tr*Q_tr)/tank_D-1)</f>
        <v>0.460972464182586</v>
      </c>
      <c r="V15" s="11" t="n">
        <f aca="false">(T_av-2*t_tr-U15*t_refuel_h)/D15</f>
        <v>2.91014539717104</v>
      </c>
      <c r="W15" s="12" t="n">
        <f aca="false">R15+2*t_tr*Q_tr/V15</f>
        <v>10.9401109888616</v>
      </c>
      <c r="X15" s="11" t="n">
        <f aca="false">T15/D15</f>
        <v>2.03302272378484</v>
      </c>
    </row>
    <row r="16" customFormat="false" ht="15" hidden="false" customHeight="false" outlineLevel="0" collapsed="false">
      <c r="A16" s="17" t="str">
        <f aca="false">Энергетика!A16&amp;" "&amp;Энергетика!B16&amp;"×"&amp;Энергетика!C16</f>
        <v>фреза 0.16×1.8</v>
      </c>
      <c r="B16" s="11" t="n">
        <f aca="false">0.1*Энергетика!D16*Энергетика!C16</f>
        <v>0.225</v>
      </c>
      <c r="C16" s="12" t="n">
        <f aca="false">10000/(Энергетика!D16*L_run_m)</f>
        <v>26.6666666666667</v>
      </c>
      <c r="D16" s="11" t="n">
        <f aca="false">1/B16+C16*turn_t/3600</f>
        <v>4.68291851851852</v>
      </c>
      <c r="E16" s="12" t="n">
        <f aca="false">Энергетика!L16/B16+C16*turn_P*turn_t/3600</f>
        <v>56.0283792588997</v>
      </c>
      <c r="F16" s="12" t="n">
        <f aca="false">E16/D16</f>
        <v>11.9644147207209</v>
      </c>
      <c r="G16" s="12" t="n">
        <f aca="false">E_use/F16</f>
        <v>1.32710210826286</v>
      </c>
      <c r="H16" s="11" t="n">
        <f aca="false">G16/D16</f>
        <v>0.283392098968808</v>
      </c>
      <c r="I16" s="12" t="n">
        <f aca="false">(E_use-2*E_tr)/F16</f>
        <v>1.25871749963133</v>
      </c>
      <c r="J16" s="12" t="n">
        <f aca="false">MAX(0,MIN(I16,T_av-2*t_tr))</f>
        <v>1.25871749963133</v>
      </c>
      <c r="K16" s="19" t="b">
        <f aca="false">AND(T_av-(t_tr+J16)-t_tr&gt;0.000001,T_av-(t_tr+J16)-2*t_tr-t_ch&gt;=0.25)</f>
        <v>1</v>
      </c>
      <c r="L16" s="12" t="n">
        <f aca="false">IF(K16,MAX(0,MIN(I16,T_av-(t_tr+J16+2*t_tr+t_ch)-t_tr)),0)</f>
        <v>0.650957082079862</v>
      </c>
      <c r="M16" s="19" t="b">
        <f aca="false">AND(K16,L16&gt;0,T_av-(t_tr+J16+2*t_tr+t_ch+L16)-t_tr&gt;0.000001,T_av-(t_tr+J16+2*t_tr+t_ch+L16)-2*t_tr-t_ch&gt;=0.25)</f>
        <v>0</v>
      </c>
      <c r="N16" s="12" t="n">
        <f aca="false">IF(M16,MAX(0,MIN(I16,T_av-((t_tr+J16+2*t_tr+t_ch+L16)+2*t_tr+t_ch)-t_tr)),0)</f>
        <v>0</v>
      </c>
      <c r="O16" s="14" t="n">
        <f aca="false">K16*1+M16*1</f>
        <v>1</v>
      </c>
      <c r="P16" s="11" t="n">
        <f aca="false">(J16+L16+N16)/D16</f>
        <v>0.40779581668129</v>
      </c>
      <c r="Q16" s="12" t="n">
        <f aca="false">(E16+E_tr*(2+2*O16)/P16)/(eta_ch*eta_bat)</f>
        <v>68.6968908474672</v>
      </c>
      <c r="R16" s="12" t="n">
        <f aca="false">Энергетика!T16/B16+C16*turn_t/3600*Q_turn</f>
        <v>18.1741556774396</v>
      </c>
      <c r="S16" s="12" t="n">
        <f aca="false">R16/D16</f>
        <v>3.88094638110193</v>
      </c>
      <c r="T16" s="12" t="n">
        <f aca="false">tank_D/S16</f>
        <v>5.66872042013461</v>
      </c>
      <c r="U16" s="12" t="n">
        <f aca="false">MAX(0,((T_av-2*t_tr)*S16+2*t_tr*Q_tr)/tank_D-1)</f>
        <v>0.291155923564247</v>
      </c>
      <c r="V16" s="11" t="n">
        <f aca="false">(T_av-2*t_tr-U16*t_refuel_h)/D16</f>
        <v>1.53461061796752</v>
      </c>
      <c r="W16" s="12" t="n">
        <f aca="false">R16+2*t_tr*Q_tr/V16</f>
        <v>18.3994140980374</v>
      </c>
      <c r="X16" s="11" t="n">
        <f aca="false">T16/D16</f>
        <v>1.21051015466482</v>
      </c>
    </row>
    <row r="17" customFormat="false" ht="15" hidden="false" customHeight="false" outlineLevel="0" collapsed="false">
      <c r="A17" s="17" t="str">
        <f aca="false">Энергетика!A17&amp;" "&amp;Энергетика!B17&amp;"×"&amp;Энергетика!C17</f>
        <v>фреза 0.16×2.7</v>
      </c>
      <c r="B17" s="11" t="n">
        <f aca="false">0.1*Энергетика!D17*Энергетика!C17</f>
        <v>0.3375</v>
      </c>
      <c r="C17" s="12" t="n">
        <f aca="false">10000/(Энергетика!D17*L_run_m)</f>
        <v>26.6666666666667</v>
      </c>
      <c r="D17" s="11" t="n">
        <f aca="false">1/B17+C17*turn_t/3600</f>
        <v>3.20143703703704</v>
      </c>
      <c r="E17" s="12" t="n">
        <f aca="false">Энергетика!L17/B17+C17*turn_P*turn_t/3600</f>
        <v>50.2142696214697</v>
      </c>
      <c r="F17" s="12" t="n">
        <f aca="false">E17/D17</f>
        <v>15.6849155677738</v>
      </c>
      <c r="G17" s="12" t="n">
        <f aca="false">E_use/F17</f>
        <v>1.01231019901841</v>
      </c>
      <c r="H17" s="11" t="n">
        <f aca="false">G17/D17</f>
        <v>0.316204937753614</v>
      </c>
      <c r="I17" s="12" t="n">
        <f aca="false">(E_use-2*E_tr)/F17</f>
        <v>0.960146589042539</v>
      </c>
      <c r="J17" s="12" t="n">
        <f aca="false">MAX(0,MIN(I17,T_av-2*t_tr))</f>
        <v>0.960146589042539</v>
      </c>
      <c r="K17" s="19" t="b">
        <f aca="false">AND(T_av-(t_tr+J17)-t_tr&gt;0.000001,T_av-(t_tr+J17)-2*t_tr-t_ch&gt;=0.25)</f>
        <v>1</v>
      </c>
      <c r="L17" s="12" t="n">
        <f aca="false">IF(K17,MAX(0,MIN(I17,T_av-(t_tr+J17+2*t_tr+t_ch)-t_tr)),0)</f>
        <v>0.949527992668656</v>
      </c>
      <c r="M17" s="19" t="b">
        <f aca="false">AND(K17,L17&gt;0,T_av-(t_tr+J17+2*t_tr+t_ch+L17)-t_tr&gt;0.000001,T_av-(t_tr+J17+2*t_tr+t_ch+L17)-2*t_tr-t_ch&gt;=0.25)</f>
        <v>0</v>
      </c>
      <c r="N17" s="12" t="n">
        <f aca="false">IF(M17,MAX(0,MIN(I17,T_av-((t_tr+J17+2*t_tr+t_ch+L17)+2*t_tr+t_ch)-t_tr)),0)</f>
        <v>0</v>
      </c>
      <c r="O17" s="14" t="n">
        <f aca="false">K17*1+M17*1</f>
        <v>1</v>
      </c>
      <c r="P17" s="11" t="n">
        <f aca="false">(J17+L17+N17)/D17</f>
        <v>0.596505431660345</v>
      </c>
      <c r="Q17" s="12" t="n">
        <f aca="false">(E17+E_tr*(2+2*O17)/P17)/(eta_ch*eta_bat)</f>
        <v>60.5921279261885</v>
      </c>
      <c r="R17" s="12" t="n">
        <f aca="false">Энергетика!T17/B17+C17*turn_t/3600*Q_turn</f>
        <v>14.696081829411</v>
      </c>
      <c r="S17" s="12" t="n">
        <f aca="false">R17/D17</f>
        <v>4.5904641132697</v>
      </c>
      <c r="T17" s="12" t="n">
        <f aca="false">tank_D/S17</f>
        <v>4.79254372916333</v>
      </c>
      <c r="U17" s="12" t="n">
        <f aca="false">MAX(0,((T_av-2*t_tr)*S17+2*t_tr*Q_tr)/tank_D-1)</f>
        <v>0.524333439415747</v>
      </c>
      <c r="V17" s="11" t="n">
        <f aca="false">(T_av-2*t_tr-U17*t_refuel_h)/D17</f>
        <v>2.23383429737424</v>
      </c>
      <c r="W17" s="12" t="n">
        <f aca="false">R17+2*t_tr*Q_tr/V17</f>
        <v>14.850830981773</v>
      </c>
      <c r="X17" s="11" t="n">
        <f aca="false">T17/D17</f>
        <v>1.49699765252884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7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17" min="2" style="0" width="11"/>
  </cols>
  <sheetData>
    <row r="1" customFormat="false" ht="45" hidden="false" customHeight="true" outlineLevel="0" collapsed="false">
      <c r="A1" s="4" t="s">
        <v>352</v>
      </c>
      <c r="B1" s="4" t="s">
        <v>375</v>
      </c>
      <c r="C1" s="4" t="s">
        <v>376</v>
      </c>
      <c r="D1" s="4" t="s">
        <v>377</v>
      </c>
      <c r="E1" s="4" t="s">
        <v>378</v>
      </c>
      <c r="F1" s="4" t="s">
        <v>379</v>
      </c>
      <c r="G1" s="4" t="s">
        <v>380</v>
      </c>
      <c r="H1" s="4" t="s">
        <v>381</v>
      </c>
      <c r="I1" s="4" t="s">
        <v>382</v>
      </c>
      <c r="J1" s="4" t="s">
        <v>383</v>
      </c>
      <c r="K1" s="4" t="s">
        <v>384</v>
      </c>
      <c r="L1" s="4" t="s">
        <v>385</v>
      </c>
      <c r="M1" s="4" t="s">
        <v>386</v>
      </c>
      <c r="N1" s="4" t="s">
        <v>387</v>
      </c>
      <c r="O1" s="4" t="s">
        <v>388</v>
      </c>
      <c r="P1" s="4" t="s">
        <v>389</v>
      </c>
      <c r="Q1" s="4" t="s">
        <v>390</v>
      </c>
    </row>
    <row r="2" customFormat="false" ht="15" hidden="false" customHeight="false" outlineLevel="0" collapsed="false">
      <c r="A2" s="17" t="str">
        <f aca="false">Смена!A2</f>
        <v>культиватор 0.08×3.6</v>
      </c>
      <c r="B2" s="20" t="n">
        <f aca="false">wage_h*(Смена!D2+2*t_tr*(1+Смена!O2)/Смена!P2)</f>
        <v>6884.03043049468</v>
      </c>
      <c r="C2" s="20" t="n">
        <f aca="false">wage_h*(Смена!D2+2*t_tr/Смена!V2)</f>
        <v>6602.56588586431</v>
      </c>
      <c r="D2" s="20" t="n">
        <f aca="false">Смена!Q2*c_el</f>
        <v>1002.99823779399</v>
      </c>
      <c r="E2" s="20" t="n">
        <f aca="false">Смена!W2*c_D</f>
        <v>2628.95624365654</v>
      </c>
      <c r="F2" s="20" t="n">
        <f aca="false">k_RM_ET*rm_h_D*Смена!D2</f>
        <v>216.352807013231</v>
      </c>
      <c r="G2" s="20" t="n">
        <f aca="false">rm_h_D*Смена!D2</f>
        <v>360.588011688718</v>
      </c>
      <c r="H2" s="13" t="n">
        <f aca="false">T_year_h/Смена!D2</f>
        <v>234.080085733036</v>
      </c>
      <c r="I2" s="13" t="n">
        <f aca="false">H2*Смена!E2/E_bat_kWh</f>
        <v>182.828343498311</v>
      </c>
      <c r="J2" s="13" t="n">
        <f aca="false">MIN(bat_cycles/I2,bat_cal_y)</f>
        <v>10</v>
      </c>
      <c r="K2" s="12" t="n">
        <f aca="false">MAX(0,life_y/J2-1)</f>
        <v>0</v>
      </c>
      <c r="L2" s="20" t="n">
        <f aca="false">(price_ET*(k_CRF-salvage*k_SFF)+C_bat*K2/(1+r_disc)^J2*k_CRF)/H2</f>
        <v>4281.17843525815</v>
      </c>
      <c r="M2" s="20" t="n">
        <f aca="false">price_D*(k_CRF-salvage*k_SFF)/H2</f>
        <v>1625.56023293637</v>
      </c>
      <c r="N2" s="20" t="n">
        <f aca="false">B2+D2+F2</f>
        <v>8103.3814753019</v>
      </c>
      <c r="O2" s="20" t="n">
        <f aca="false">C2+E2+G2</f>
        <v>9592.11014120956</v>
      </c>
      <c r="P2" s="20" t="n">
        <f aca="false">N2+L2</f>
        <v>12384.5599105601</v>
      </c>
      <c r="Q2" s="20" t="n">
        <f aca="false">O2+M2</f>
        <v>11217.6703741459</v>
      </c>
    </row>
    <row r="3" customFormat="false" ht="15" hidden="false" customHeight="false" outlineLevel="0" collapsed="false">
      <c r="A3" s="17" t="str">
        <f aca="false">Смена!A3</f>
        <v>культиватор 0.08×4.5</v>
      </c>
      <c r="B3" s="20" t="n">
        <f aca="false">wage_h*(Смена!D3+2*t_tr*(1+Смена!O3)/Смена!P3)</f>
        <v>6037.41501781246</v>
      </c>
      <c r="C3" s="20" t="n">
        <f aca="false">wage_h*(Смена!D3+2*t_tr/Смена!V3)</f>
        <v>5410.19281506645</v>
      </c>
      <c r="D3" s="20" t="n">
        <f aca="false">Смена!Q3*c_el</f>
        <v>1060.3534218869</v>
      </c>
      <c r="E3" s="20" t="n">
        <f aca="false">Смена!W3*c_D</f>
        <v>2388.10005626875</v>
      </c>
      <c r="F3" s="20" t="n">
        <f aca="false">k_RM_ET*rm_h_D*Смена!D3</f>
        <v>177.275736323231</v>
      </c>
      <c r="G3" s="20" t="n">
        <f aca="false">rm_h_D*Смена!D3</f>
        <v>295.459560538718</v>
      </c>
      <c r="H3" s="13" t="n">
        <f aca="false">T_year_h/Смена!D3</f>
        <v>285.678596883105</v>
      </c>
      <c r="I3" s="13" t="n">
        <f aca="false">H3*Смена!E3/E_bat_kWh</f>
        <v>226.685952083901</v>
      </c>
      <c r="J3" s="13" t="n">
        <f aca="false">MIN(bat_cycles/I3,bat_cal_y)</f>
        <v>10</v>
      </c>
      <c r="K3" s="12" t="n">
        <f aca="false">MAX(0,life_y/J3-1)</f>
        <v>0</v>
      </c>
      <c r="L3" s="20" t="n">
        <f aca="false">(price_ET*(k_CRF-salvage*k_SFF)+C_bat*K3/(1+r_disc)^J3*k_CRF)/H3</f>
        <v>3507.92333096521</v>
      </c>
      <c r="M3" s="20" t="n">
        <f aca="false">price_D*(k_CRF-salvage*k_SFF)/H3</f>
        <v>1331.95585123115</v>
      </c>
      <c r="N3" s="20" t="n">
        <f aca="false">B3+D3+F3</f>
        <v>7275.04417602259</v>
      </c>
      <c r="O3" s="20" t="n">
        <f aca="false">C3+E3+G3</f>
        <v>8093.75243187392</v>
      </c>
      <c r="P3" s="20" t="n">
        <f aca="false">N3+L3</f>
        <v>10782.9675069878</v>
      </c>
      <c r="Q3" s="20" t="n">
        <f aca="false">O3+M3</f>
        <v>9425.70828310507</v>
      </c>
    </row>
    <row r="4" customFormat="false" ht="15" hidden="false" customHeight="false" outlineLevel="0" collapsed="false">
      <c r="A4" s="17" t="str">
        <f aca="false">Смена!A4</f>
        <v>культиватор 0.08×5.4</v>
      </c>
      <c r="B4" s="20" t="n">
        <f aca="false">wage_h*(Смена!D4+2*t_tr*(1+Смена!O4)/Смена!P4)</f>
        <v>5150.19266642889</v>
      </c>
      <c r="C4" s="20" t="n">
        <f aca="false">wage_h*(Смена!D4+2*t_tr/Смена!V4)</f>
        <v>4615.3285369367</v>
      </c>
      <c r="D4" s="20" t="n">
        <f aca="false">Смена!Q4*c_el</f>
        <v>1067.69676906067</v>
      </c>
      <c r="E4" s="20" t="n">
        <f aca="false">Смена!W4*c_D</f>
        <v>2242.2853743635</v>
      </c>
      <c r="F4" s="20" t="n">
        <f aca="false">k_RM_ET*rm_h_D*Смена!D4</f>
        <v>151.224355863231</v>
      </c>
      <c r="G4" s="20" t="n">
        <f aca="false">rm_h_D*Смена!D4</f>
        <v>252.040593105385</v>
      </c>
      <c r="H4" s="13" t="n">
        <f aca="false">T_year_h/Смена!D4</f>
        <v>334.892374479961</v>
      </c>
      <c r="I4" s="13" t="n">
        <f aca="false">H4*Смена!E4/E_bat_kWh</f>
        <v>271.549261419744</v>
      </c>
      <c r="J4" s="13" t="n">
        <f aca="false">MIN(bat_cycles/I4,bat_cal_y)</f>
        <v>10</v>
      </c>
      <c r="K4" s="12" t="n">
        <f aca="false">MAX(0,life_y/J4-1)</f>
        <v>0</v>
      </c>
      <c r="L4" s="20" t="n">
        <f aca="false">(price_ET*(k_CRF-salvage*k_SFF)+C_bat*K4/(1+r_disc)^J4*k_CRF)/H4</f>
        <v>2992.41992810325</v>
      </c>
      <c r="M4" s="20" t="n">
        <f aca="false">price_D*(k_CRF-salvage*k_SFF)/H4</f>
        <v>1136.21959676101</v>
      </c>
      <c r="N4" s="20" t="n">
        <f aca="false">B4+D4+F4</f>
        <v>6369.11379135279</v>
      </c>
      <c r="O4" s="20" t="n">
        <f aca="false">C4+E4+G4</f>
        <v>7109.65450440559</v>
      </c>
      <c r="P4" s="20" t="n">
        <f aca="false">N4+L4</f>
        <v>9361.53371945604</v>
      </c>
      <c r="Q4" s="20" t="n">
        <f aca="false">O4+M4</f>
        <v>8245.8741011666</v>
      </c>
    </row>
    <row r="5" customFormat="false" ht="15" hidden="false" customHeight="false" outlineLevel="0" collapsed="false">
      <c r="A5" s="17" t="str">
        <f aca="false">Смена!A5</f>
        <v>культиватор 0.11×3.6</v>
      </c>
      <c r="B5" s="20" t="n">
        <f aca="false">wage_h*(Смена!D5+2*t_tr*(1+Смена!O5)/Смена!P5)</f>
        <v>7368.2485448878</v>
      </c>
      <c r="C5" s="20" t="n">
        <f aca="false">wage_h*(Смена!D5+2*t_tr/Смена!V5)</f>
        <v>6602.8244722572</v>
      </c>
      <c r="D5" s="20" t="n">
        <f aca="false">Смена!Q5*c_el</f>
        <v>1323.66274222641</v>
      </c>
      <c r="E5" s="20" t="n">
        <f aca="false">Смена!W5*c_D</f>
        <v>2978.13432934699</v>
      </c>
      <c r="F5" s="20" t="n">
        <f aca="false">k_RM_ET*rm_h_D*Смена!D5</f>
        <v>216.352807013231</v>
      </c>
      <c r="G5" s="20" t="n">
        <f aca="false">rm_h_D*Смена!D5</f>
        <v>360.588011688718</v>
      </c>
      <c r="H5" s="13" t="n">
        <f aca="false">T_year_h/Смена!D5</f>
        <v>234.080085733036</v>
      </c>
      <c r="I5" s="13" t="n">
        <f aca="false">H5*Смена!E5/E_bat_kWh</f>
        <v>232.369733844688</v>
      </c>
      <c r="J5" s="13" t="n">
        <f aca="false">MIN(bat_cycles/I5,bat_cal_y)</f>
        <v>10</v>
      </c>
      <c r="K5" s="12" t="n">
        <f aca="false">MAX(0,life_y/J5-1)</f>
        <v>0</v>
      </c>
      <c r="L5" s="20" t="n">
        <f aca="false">(price_ET*(k_CRF-salvage*k_SFF)+C_bat*K5/(1+r_disc)^J5*k_CRF)/H5</f>
        <v>4281.17843525815</v>
      </c>
      <c r="M5" s="20" t="n">
        <f aca="false">price_D*(k_CRF-salvage*k_SFF)/H5</f>
        <v>1625.56023293637</v>
      </c>
      <c r="N5" s="20" t="n">
        <f aca="false">B5+D5+F5</f>
        <v>8908.26409412744</v>
      </c>
      <c r="O5" s="20" t="n">
        <f aca="false">C5+E5+G5</f>
        <v>9941.54681329291</v>
      </c>
      <c r="P5" s="20" t="n">
        <f aca="false">N5+L5</f>
        <v>13189.4425293856</v>
      </c>
      <c r="Q5" s="20" t="n">
        <f aca="false">O5+M5</f>
        <v>11567.1070462293</v>
      </c>
    </row>
    <row r="6" customFormat="false" ht="15" hidden="false" customHeight="false" outlineLevel="0" collapsed="false">
      <c r="A6" s="17" t="str">
        <f aca="false">Смена!A6</f>
        <v>культиватор 0.11×4.5</v>
      </c>
      <c r="B6" s="20" t="n">
        <f aca="false">wage_h*(Смена!D6+2*t_tr*(1+Смена!O6)/Смена!P6)</f>
        <v>6037.41501781246</v>
      </c>
      <c r="C6" s="20" t="n">
        <f aca="false">wage_h*(Смена!D6+2*t_tr/Смена!V6)</f>
        <v>5410.52311801367</v>
      </c>
      <c r="D6" s="20" t="n">
        <f aca="false">Смена!Q6*c_el</f>
        <v>1328.69069503524</v>
      </c>
      <c r="E6" s="20" t="n">
        <f aca="false">Смена!W6*c_D</f>
        <v>2753.40170281594</v>
      </c>
      <c r="F6" s="20" t="n">
        <f aca="false">k_RM_ET*rm_h_D*Смена!D6</f>
        <v>177.275736323231</v>
      </c>
      <c r="G6" s="20" t="n">
        <f aca="false">rm_h_D*Смена!D6</f>
        <v>295.459560538718</v>
      </c>
      <c r="H6" s="13" t="n">
        <f aca="false">T_year_h/Смена!D6</f>
        <v>285.678596883105</v>
      </c>
      <c r="I6" s="13" t="n">
        <f aca="false">H6*Смена!E6/E_bat_kWh</f>
        <v>289.624056967355</v>
      </c>
      <c r="J6" s="13" t="n">
        <f aca="false">MIN(bat_cycles/I6,bat_cal_y)</f>
        <v>10</v>
      </c>
      <c r="K6" s="12" t="n">
        <f aca="false">MAX(0,life_y/J6-1)</f>
        <v>0</v>
      </c>
      <c r="L6" s="20" t="n">
        <f aca="false">(price_ET*(k_CRF-salvage*k_SFF)+C_bat*K6/(1+r_disc)^J6*k_CRF)/H6</f>
        <v>3507.92333096521</v>
      </c>
      <c r="M6" s="20" t="n">
        <f aca="false">price_D*(k_CRF-salvage*k_SFF)/H6</f>
        <v>1331.95585123115</v>
      </c>
      <c r="N6" s="20" t="n">
        <f aca="false">B6+D6+F6</f>
        <v>7543.38144917093</v>
      </c>
      <c r="O6" s="20" t="n">
        <f aca="false">C6+E6+G6</f>
        <v>8459.38438136833</v>
      </c>
      <c r="P6" s="20" t="n">
        <f aca="false">N6+L6</f>
        <v>11051.3047801361</v>
      </c>
      <c r="Q6" s="20" t="n">
        <f aca="false">O6+M6</f>
        <v>9791.34023259948</v>
      </c>
    </row>
    <row r="7" customFormat="false" ht="15" hidden="false" customHeight="false" outlineLevel="0" collapsed="false">
      <c r="A7" s="17" t="str">
        <f aca="false">Смена!A7</f>
        <v>культиватор 0.11×5.4</v>
      </c>
      <c r="B7" s="20" t="n">
        <f aca="false">wage_h*(Смена!D7+2*t_tr*(1+Смена!O7)/Смена!P7)</f>
        <v>5150.19266642889</v>
      </c>
      <c r="C7" s="20" t="n">
        <f aca="false">wage_h*(Смена!D7+2*t_tr/Смена!V7)</f>
        <v>4615.67954008901</v>
      </c>
      <c r="D7" s="20" t="n">
        <f aca="false">Смена!Q7*c_el</f>
        <v>1349.41320293179</v>
      </c>
      <c r="E7" s="20" t="n">
        <f aca="false">Смена!W7*c_D</f>
        <v>2628.40124416855</v>
      </c>
      <c r="F7" s="20" t="n">
        <f aca="false">k_RM_ET*rm_h_D*Смена!D7</f>
        <v>151.224355863231</v>
      </c>
      <c r="G7" s="20" t="n">
        <f aca="false">rm_h_D*Смена!D7</f>
        <v>252.040593105385</v>
      </c>
      <c r="H7" s="13" t="n">
        <f aca="false">T_year_h/Смена!D7</f>
        <v>334.892374479961</v>
      </c>
      <c r="I7" s="13" t="n">
        <f aca="false">H7*Смена!E7/E_bat_kWh</f>
        <v>349.008352480434</v>
      </c>
      <c r="J7" s="13" t="n">
        <f aca="false">MIN(bat_cycles/I7,bat_cal_y)</f>
        <v>8.59578281917534</v>
      </c>
      <c r="K7" s="12" t="n">
        <f aca="false">MAX(0,life_y/J7-1)</f>
        <v>0.163361174934778</v>
      </c>
      <c r="L7" s="20" t="n">
        <f aca="false">(price_ET*(k_CRF-salvage*k_SFF)+C_bat*K7/(1+r_disc)^J7*k_CRF)/H7</f>
        <v>3080.11207183853</v>
      </c>
      <c r="M7" s="20" t="n">
        <f aca="false">price_D*(k_CRF-salvage*k_SFF)/H7</f>
        <v>1136.21959676101</v>
      </c>
      <c r="N7" s="20" t="n">
        <f aca="false">B7+D7+F7</f>
        <v>6650.83022522391</v>
      </c>
      <c r="O7" s="20" t="n">
        <f aca="false">C7+E7+G7</f>
        <v>7496.12137736295</v>
      </c>
      <c r="P7" s="20" t="n">
        <f aca="false">N7+L7</f>
        <v>9730.94229706244</v>
      </c>
      <c r="Q7" s="20" t="n">
        <f aca="false">O7+M7</f>
        <v>8632.34097412396</v>
      </c>
    </row>
    <row r="8" customFormat="false" ht="15" hidden="false" customHeight="false" outlineLevel="0" collapsed="false">
      <c r="A8" s="17" t="str">
        <f aca="false">Смена!A8</f>
        <v>культиватор 0.14×3.6</v>
      </c>
      <c r="B8" s="20" t="n">
        <f aca="false">wage_h*(Смена!D8+2*t_tr*(1+Смена!O8)/Смена!P8)</f>
        <v>7368.2485448878</v>
      </c>
      <c r="C8" s="20" t="n">
        <f aca="false">wage_h*(Смена!D8+2*t_tr/Смена!V8)</f>
        <v>6603.22362677671</v>
      </c>
      <c r="D8" s="20" t="n">
        <f aca="false">Смена!Q8*c_el</f>
        <v>1621.7685378984</v>
      </c>
      <c r="E8" s="20" t="n">
        <f aca="false">Смена!W8*c_D</f>
        <v>3419.1651999612</v>
      </c>
      <c r="F8" s="20" t="n">
        <f aca="false">k_RM_ET*rm_h_D*Смена!D8</f>
        <v>216.352807013231</v>
      </c>
      <c r="G8" s="20" t="n">
        <f aca="false">rm_h_D*Смена!D8</f>
        <v>360.588011688718</v>
      </c>
      <c r="H8" s="13" t="n">
        <f aca="false">T_year_h/Смена!D8</f>
        <v>234.080085733036</v>
      </c>
      <c r="I8" s="13" t="n">
        <f aca="false">H8*Смена!E8/E_bat_kWh</f>
        <v>289.6611876527</v>
      </c>
      <c r="J8" s="13" t="n">
        <f aca="false">MIN(bat_cycles/I8,bat_cal_y)</f>
        <v>10</v>
      </c>
      <c r="K8" s="12" t="n">
        <f aca="false">MAX(0,life_y/J8-1)</f>
        <v>0</v>
      </c>
      <c r="L8" s="20" t="n">
        <f aca="false">(price_ET*(k_CRF-salvage*k_SFF)+C_bat*K8/(1+r_disc)^J8*k_CRF)/H8</f>
        <v>4281.17843525815</v>
      </c>
      <c r="M8" s="20" t="n">
        <f aca="false">price_D*(k_CRF-salvage*k_SFF)/H8</f>
        <v>1625.56023293637</v>
      </c>
      <c r="N8" s="20" t="n">
        <f aca="false">B8+D8+F8</f>
        <v>9206.36988979943</v>
      </c>
      <c r="O8" s="20" t="n">
        <f aca="false">C8+E8+G8</f>
        <v>10382.9768384266</v>
      </c>
      <c r="P8" s="20" t="n">
        <f aca="false">N8+L8</f>
        <v>13487.5483250576</v>
      </c>
      <c r="Q8" s="20" t="n">
        <f aca="false">O8+M8</f>
        <v>12008.537071363</v>
      </c>
    </row>
    <row r="9" customFormat="false" ht="15" hidden="false" customHeight="false" outlineLevel="0" collapsed="false">
      <c r="A9" s="17" t="str">
        <f aca="false">Смена!A9</f>
        <v>культиватор 0.14×4.5</v>
      </c>
      <c r="B9" s="20" t="n">
        <f aca="false">wage_h*(Смена!D9+2*t_tr*(1+Смена!O9)/Смена!P9)</f>
        <v>6037.41501781246</v>
      </c>
      <c r="C9" s="20" t="n">
        <f aca="false">wage_h*(Смена!D9+2*t_tr/Смена!V9)</f>
        <v>5410.95709736473</v>
      </c>
      <c r="D9" s="20" t="n">
        <f aca="false">Смена!Q9*c_el</f>
        <v>1643.55401193191</v>
      </c>
      <c r="E9" s="20" t="n">
        <f aca="false">Смена!W9*c_D</f>
        <v>3229.56087975978</v>
      </c>
      <c r="F9" s="20" t="n">
        <f aca="false">k_RM_ET*rm_h_D*Смена!D9</f>
        <v>177.275736323231</v>
      </c>
      <c r="G9" s="20" t="n">
        <f aca="false">rm_h_D*Смена!D9</f>
        <v>295.459560538718</v>
      </c>
      <c r="H9" s="13" t="n">
        <f aca="false">T_year_h/Смена!D9</f>
        <v>285.678596883105</v>
      </c>
      <c r="I9" s="13" t="n">
        <f aca="false">H9*Смена!E9/E_bat_kWh</f>
        <v>363.474775618131</v>
      </c>
      <c r="J9" s="13" t="n">
        <f aca="false">MIN(bat_cycles/I9,bat_cal_y)</f>
        <v>8.25366765795</v>
      </c>
      <c r="K9" s="12" t="n">
        <f aca="false">MAX(0,life_y/J9-1)</f>
        <v>0.21158258539377</v>
      </c>
      <c r="L9" s="20" t="n">
        <f aca="false">(price_ET*(k_CRF-salvage*k_SFF)+C_bat*K9/(1+r_disc)^J9*k_CRF)/H9</f>
        <v>3643.30769007021</v>
      </c>
      <c r="M9" s="20" t="n">
        <f aca="false">price_D*(k_CRF-salvage*k_SFF)/H9</f>
        <v>1331.95585123115</v>
      </c>
      <c r="N9" s="20" t="n">
        <f aca="false">B9+D9+F9</f>
        <v>7858.2447660676</v>
      </c>
      <c r="O9" s="20" t="n">
        <f aca="false">C9+E9+G9</f>
        <v>8935.97753766323</v>
      </c>
      <c r="P9" s="20" t="n">
        <f aca="false">N9+L9</f>
        <v>11501.5524561378</v>
      </c>
      <c r="Q9" s="20" t="n">
        <f aca="false">O9+M9</f>
        <v>10267.9333888944</v>
      </c>
    </row>
    <row r="10" customFormat="false" ht="15" hidden="false" customHeight="false" outlineLevel="0" collapsed="false">
      <c r="A10" s="17" t="str">
        <f aca="false">Смена!A10</f>
        <v>фреза 0.08×1.8</v>
      </c>
      <c r="B10" s="20" t="n">
        <f aca="false">wage_h*(Смена!D10+2*t_tr*(1+Смена!O10)/Смена!P10)</f>
        <v>12585.6849058468</v>
      </c>
      <c r="C10" s="20" t="n">
        <f aca="false">wage_h*(Смена!D10+2*t_tr/Смена!V10)</f>
        <v>12062.645430508</v>
      </c>
      <c r="D10" s="20" t="n">
        <f aca="false">Смена!Q10*c_el</f>
        <v>1854.65500349111</v>
      </c>
      <c r="E10" s="20" t="n">
        <f aca="false">Смена!W10*c_D</f>
        <v>4857.52156857444</v>
      </c>
      <c r="F10" s="20" t="n">
        <f aca="false">k_RM_ET*rm_h_D*Смена!D10</f>
        <v>395.268634044702</v>
      </c>
      <c r="G10" s="20" t="n">
        <f aca="false">rm_h_D*Смена!D10</f>
        <v>658.78105674117</v>
      </c>
      <c r="H10" s="13" t="n">
        <f aca="false">T_year_h/Смена!D10</f>
        <v>128.125227382734</v>
      </c>
      <c r="I10" s="13" t="n">
        <f aca="false">H10*Смена!E10/E_bat_kWh</f>
        <v>185.044708748797</v>
      </c>
      <c r="J10" s="13" t="n">
        <f aca="false">MIN(bat_cycles/I10,bat_cal_y)</f>
        <v>10</v>
      </c>
      <c r="K10" s="12" t="n">
        <f aca="false">MAX(0,life_y/J10-1)</f>
        <v>0</v>
      </c>
      <c r="L10" s="20" t="n">
        <f aca="false">(price_ET*(k_CRF-salvage*k_SFF)+C_bat*K10/(1+r_disc)^J10*k_CRF)/H10</f>
        <v>7821.55579845394</v>
      </c>
      <c r="M10" s="20" t="n">
        <f aca="false">price_D*(k_CRF-salvage*k_SFF)/H10</f>
        <v>2969.83885580394</v>
      </c>
      <c r="N10" s="20" t="n">
        <f aca="false">B10+D10+F10</f>
        <v>14835.6085433826</v>
      </c>
      <c r="O10" s="20" t="n">
        <f aca="false">C10+E10+G10</f>
        <v>17578.9480558236</v>
      </c>
      <c r="P10" s="20" t="n">
        <f aca="false">N10+L10</f>
        <v>22657.1643418365</v>
      </c>
      <c r="Q10" s="20" t="n">
        <f aca="false">O10+M10</f>
        <v>20548.7869116275</v>
      </c>
    </row>
    <row r="11" customFormat="false" ht="15" hidden="false" customHeight="false" outlineLevel="0" collapsed="false">
      <c r="A11" s="17" t="str">
        <f aca="false">Смена!A11</f>
        <v>фреза 0.08×2.7</v>
      </c>
      <c r="B11" s="20" t="n">
        <f aca="false">wage_h*(Смена!D11+2*t_tr*(1+Смена!O11)/Смена!P11)</f>
        <v>9202.85224641285</v>
      </c>
      <c r="C11" s="20" t="n">
        <f aca="false">wage_h*(Смена!D11+2*t_tr/Смена!V11)</f>
        <v>8246.89237328811</v>
      </c>
      <c r="D11" s="20" t="n">
        <f aca="false">Смена!Q11*c_el</f>
        <v>1705.67406934397</v>
      </c>
      <c r="E11" s="20" t="n">
        <f aca="false">Смена!W11*c_D</f>
        <v>3769.99974273389</v>
      </c>
      <c r="F11" s="20" t="n">
        <f aca="false">k_RM_ET*rm_h_D*Смена!D11</f>
        <v>270.222007836702</v>
      </c>
      <c r="G11" s="20" t="n">
        <f aca="false">rm_h_D*Смена!D11</f>
        <v>450.37001306117</v>
      </c>
      <c r="H11" s="13" t="n">
        <f aca="false">T_year_h/Смена!D11</f>
        <v>187.415836406799</v>
      </c>
      <c r="I11" s="13" t="n">
        <f aca="false">H11*Смена!E11/E_bat_kWh</f>
        <v>240.438120490917</v>
      </c>
      <c r="J11" s="13" t="n">
        <f aca="false">MIN(bat_cycles/I11,bat_cal_y)</f>
        <v>10</v>
      </c>
      <c r="K11" s="12" t="n">
        <f aca="false">MAX(0,life_y/J11-1)</f>
        <v>0</v>
      </c>
      <c r="L11" s="20" t="n">
        <f aca="false">(price_ET*(k_CRF-salvage*k_SFF)+C_bat*K11/(1+r_disc)^J11*k_CRF)/H11</f>
        <v>5347.13946471653</v>
      </c>
      <c r="M11" s="20" t="n">
        <f aca="false">price_D*(k_CRF-salvage*k_SFF)/H11</f>
        <v>2030.30483434726</v>
      </c>
      <c r="N11" s="20" t="n">
        <f aca="false">B11+D11+F11</f>
        <v>11178.7483235935</v>
      </c>
      <c r="O11" s="20" t="n">
        <f aca="false">C11+E11+G11</f>
        <v>12467.2621290832</v>
      </c>
      <c r="P11" s="20" t="n">
        <f aca="false">N11+L11</f>
        <v>16525.8877883101</v>
      </c>
      <c r="Q11" s="20" t="n">
        <f aca="false">O11+M11</f>
        <v>14497.5669634304</v>
      </c>
    </row>
    <row r="12" customFormat="false" ht="15" hidden="false" customHeight="false" outlineLevel="0" collapsed="false">
      <c r="A12" s="17" t="str">
        <f aca="false">Смена!A12</f>
        <v>фреза 0.08×3.6</v>
      </c>
      <c r="B12" s="20" t="n">
        <f aca="false">wage_h*(Смена!D12+2*t_tr*(1+Смена!O12)/Смена!P12)</f>
        <v>7073.51860309229</v>
      </c>
      <c r="C12" s="20" t="n">
        <f aca="false">wage_h*(Смена!D12+2*t_tr/Смена!V12)</f>
        <v>6338.98170377645</v>
      </c>
      <c r="D12" s="20" t="n">
        <f aca="false">Смена!Q12*c_el</f>
        <v>1520.92599855342</v>
      </c>
      <c r="E12" s="20" t="n">
        <f aca="false">Смена!W12*c_D</f>
        <v>3157.86794468645</v>
      </c>
      <c r="F12" s="20" t="n">
        <f aca="false">k_RM_ET*rm_h_D*Смена!D12</f>
        <v>207.698694732702</v>
      </c>
      <c r="G12" s="20" t="n">
        <f aca="false">rm_h_D*Смена!D12</f>
        <v>346.16449122117</v>
      </c>
      <c r="H12" s="13" t="n">
        <f aca="false">T_year_h/Смена!D12</f>
        <v>243.833422638579</v>
      </c>
      <c r="I12" s="13" t="n">
        <f aca="false">H12*Смена!E12/E_bat_kWh</f>
        <v>282.459897094274</v>
      </c>
      <c r="J12" s="13" t="n">
        <f aca="false">MIN(bat_cycles/I12,bat_cal_y)</f>
        <v>10</v>
      </c>
      <c r="K12" s="12" t="n">
        <f aca="false">MAX(0,life_y/J12-1)</f>
        <v>0</v>
      </c>
      <c r="L12" s="20" t="n">
        <f aca="false">(price_ET*(k_CRF-salvage*k_SFF)+C_bat*K12/(1+r_disc)^J12*k_CRF)/H12</f>
        <v>4109.93129784783</v>
      </c>
      <c r="M12" s="20" t="n">
        <f aca="false">price_D*(k_CRF-salvage*k_SFF)/H12</f>
        <v>1560.53782361891</v>
      </c>
      <c r="N12" s="20" t="n">
        <f aca="false">B12+D12+F12</f>
        <v>8802.14329637842</v>
      </c>
      <c r="O12" s="20" t="n">
        <f aca="false">C12+E12+G12</f>
        <v>9843.01413968407</v>
      </c>
      <c r="P12" s="20" t="n">
        <f aca="false">N12+L12</f>
        <v>12912.0745942262</v>
      </c>
      <c r="Q12" s="20" t="n">
        <f aca="false">O12+M12</f>
        <v>11403.551963303</v>
      </c>
    </row>
    <row r="13" customFormat="false" ht="15" hidden="false" customHeight="false" outlineLevel="0" collapsed="false">
      <c r="A13" s="17" t="str">
        <f aca="false">Смена!A13</f>
        <v>фреза 0.12×1.8</v>
      </c>
      <c r="B13" s="20" t="n">
        <f aca="false">wage_h*(Смена!D13+2*t_tr*(1+Смена!O13)/Смена!P13)</f>
        <v>13461.519533054</v>
      </c>
      <c r="C13" s="20" t="n">
        <f aca="false">wage_h*(Смена!D13+2*t_tr/Смена!V13)</f>
        <v>12063.2711133628</v>
      </c>
      <c r="D13" s="20" t="n">
        <f aca="false">Смена!Q13*c_el</f>
        <v>2556.4552057466</v>
      </c>
      <c r="E13" s="20" t="n">
        <f aca="false">Смена!W13*c_D</f>
        <v>5610.73219417063</v>
      </c>
      <c r="F13" s="20" t="n">
        <f aca="false">k_RM_ET*rm_h_D*Смена!D13</f>
        <v>395.268634044702</v>
      </c>
      <c r="G13" s="20" t="n">
        <f aca="false">rm_h_D*Смена!D13</f>
        <v>658.78105674117</v>
      </c>
      <c r="H13" s="13" t="n">
        <f aca="false">T_year_h/Смена!D13</f>
        <v>128.125227382734</v>
      </c>
      <c r="I13" s="13" t="n">
        <f aca="false">H13*Смена!E13/E_bat_kWh</f>
        <v>246.90455142623</v>
      </c>
      <c r="J13" s="13" t="n">
        <f aca="false">MIN(bat_cycles/I13,bat_cal_y)</f>
        <v>10</v>
      </c>
      <c r="K13" s="12" t="n">
        <f aca="false">MAX(0,life_y/J13-1)</f>
        <v>0</v>
      </c>
      <c r="L13" s="20" t="n">
        <f aca="false">(price_ET*(k_CRF-salvage*k_SFF)+C_bat*K13/(1+r_disc)^J13*k_CRF)/H13</f>
        <v>7821.55579845394</v>
      </c>
      <c r="M13" s="20" t="n">
        <f aca="false">price_D*(k_CRF-salvage*k_SFF)/H13</f>
        <v>2969.83885580394</v>
      </c>
      <c r="N13" s="20" t="n">
        <f aca="false">B13+D13+F13</f>
        <v>16413.2433728453</v>
      </c>
      <c r="O13" s="20" t="n">
        <f aca="false">C13+E13+G13</f>
        <v>18332.7843642746</v>
      </c>
      <c r="P13" s="20" t="n">
        <f aca="false">N13+L13</f>
        <v>24234.7991712992</v>
      </c>
      <c r="Q13" s="20" t="n">
        <f aca="false">O13+M13</f>
        <v>21302.6232200786</v>
      </c>
    </row>
    <row r="14" customFormat="false" ht="15" hidden="false" customHeight="false" outlineLevel="0" collapsed="false">
      <c r="A14" s="17" t="str">
        <f aca="false">Смена!A14</f>
        <v>фреза 0.12×2.7</v>
      </c>
      <c r="B14" s="20" t="n">
        <f aca="false">wage_h*(Смена!D14+2*t_tr*(1+Смена!O14)/Смена!P14)</f>
        <v>9202.85224641285</v>
      </c>
      <c r="C14" s="20" t="n">
        <f aca="false">wage_h*(Смена!D14+2*t_tr/Смена!V14)</f>
        <v>8247.51309928243</v>
      </c>
      <c r="D14" s="20" t="n">
        <f aca="false">Смена!Q14*c_el</f>
        <v>2240.34491949225</v>
      </c>
      <c r="E14" s="20" t="n">
        <f aca="false">Смена!W14*c_D</f>
        <v>4454.85007428268</v>
      </c>
      <c r="F14" s="20" t="n">
        <f aca="false">k_RM_ET*rm_h_D*Смена!D14</f>
        <v>270.222007836702</v>
      </c>
      <c r="G14" s="20" t="n">
        <f aca="false">rm_h_D*Смена!D14</f>
        <v>450.37001306117</v>
      </c>
      <c r="H14" s="13" t="n">
        <f aca="false">T_year_h/Смена!D14</f>
        <v>187.415836406799</v>
      </c>
      <c r="I14" s="13" t="n">
        <f aca="false">H14*Смена!E14/E_bat_kWh</f>
        <v>322.709304651604</v>
      </c>
      <c r="J14" s="13" t="n">
        <f aca="false">MIN(bat_cycles/I14,bat_cal_y)</f>
        <v>9.29629222571934</v>
      </c>
      <c r="K14" s="12" t="n">
        <f aca="false">MAX(0,life_y/J14-1)</f>
        <v>0.0756976821720132</v>
      </c>
      <c r="L14" s="20" t="n">
        <f aca="false">(price_ET*(k_CRF-salvage*k_SFF)+C_bat*K14/(1+r_disc)^J14*k_CRF)/H14</f>
        <v>5417.309240774</v>
      </c>
      <c r="M14" s="20" t="n">
        <f aca="false">price_D*(k_CRF-salvage*k_SFF)/H14</f>
        <v>2030.30483434726</v>
      </c>
      <c r="N14" s="20" t="n">
        <f aca="false">B14+D14+F14</f>
        <v>11713.4191737418</v>
      </c>
      <c r="O14" s="20" t="n">
        <f aca="false">C14+E14+G14</f>
        <v>13152.7331866263</v>
      </c>
      <c r="P14" s="20" t="n">
        <f aca="false">N14+L14</f>
        <v>17130.7284145158</v>
      </c>
      <c r="Q14" s="20" t="n">
        <f aca="false">O14+M14</f>
        <v>15183.0380209735</v>
      </c>
    </row>
    <row r="15" customFormat="false" ht="15" hidden="false" customHeight="false" outlineLevel="0" collapsed="false">
      <c r="A15" s="17" t="str">
        <f aca="false">Смена!A15</f>
        <v>фреза 0.12×3.6</v>
      </c>
      <c r="B15" s="20" t="n">
        <f aca="false">wage_h*(Смена!D15+2*t_tr*(1+Смена!O15)/Смена!P15)</f>
        <v>7073.51860309229</v>
      </c>
      <c r="C15" s="20" t="n">
        <f aca="false">wage_h*(Смена!D15+2*t_tr/Смена!V15)</f>
        <v>6339.54321367876</v>
      </c>
      <c r="D15" s="20" t="n">
        <f aca="false">Смена!Q15*c_el</f>
        <v>2002.21099337496</v>
      </c>
      <c r="E15" s="20" t="n">
        <f aca="false">Смена!W15*c_D</f>
        <v>3774.33829115724</v>
      </c>
      <c r="F15" s="20" t="n">
        <f aca="false">k_RM_ET*rm_h_D*Смена!D15</f>
        <v>207.698694732702</v>
      </c>
      <c r="G15" s="20" t="n">
        <f aca="false">rm_h_D*Смена!D15</f>
        <v>346.16449122117</v>
      </c>
      <c r="H15" s="13" t="n">
        <f aca="false">T_year_h/Смена!D15</f>
        <v>243.833422638579</v>
      </c>
      <c r="I15" s="13" t="n">
        <f aca="false">H15*Смена!E15/E_bat_kWh</f>
        <v>378.809629337091</v>
      </c>
      <c r="J15" s="13" t="n">
        <f aca="false">MIN(bat_cycles/I15,bat_cal_y)</f>
        <v>7.91954524822914</v>
      </c>
      <c r="K15" s="12" t="n">
        <f aca="false">MAX(0,life_y/J15-1)</f>
        <v>0.262698764456969</v>
      </c>
      <c r="L15" s="20" t="n">
        <f aca="false">(price_ET*(k_CRF-salvage*k_SFF)+C_bat*K15/(1+r_disc)^J15*k_CRF)/H15</f>
        <v>4310.10678448872</v>
      </c>
      <c r="M15" s="20" t="n">
        <f aca="false">price_D*(k_CRF-salvage*k_SFF)/H15</f>
        <v>1560.53782361891</v>
      </c>
      <c r="N15" s="20" t="n">
        <f aca="false">B15+D15+F15</f>
        <v>9283.42829119996</v>
      </c>
      <c r="O15" s="20" t="n">
        <f aca="false">C15+E15+G15</f>
        <v>10460.0459960572</v>
      </c>
      <c r="P15" s="20" t="n">
        <f aca="false">N15+L15</f>
        <v>13593.5350756887</v>
      </c>
      <c r="Q15" s="20" t="n">
        <f aca="false">O15+M15</f>
        <v>12020.5838196761</v>
      </c>
    </row>
    <row r="16" customFormat="false" ht="15" hidden="false" customHeight="false" outlineLevel="0" collapsed="false">
      <c r="A16" s="17" t="str">
        <f aca="false">Смена!A16</f>
        <v>фреза 0.16×1.8</v>
      </c>
      <c r="B16" s="20" t="n">
        <f aca="false">wage_h*(Смена!D16+2*t_tr*(1+Смена!O16)/Смена!P16)</f>
        <v>13461.519533054</v>
      </c>
      <c r="C16" s="20" t="n">
        <f aca="false">wage_h*(Смена!D16+2*t_tr/Смена!V16)</f>
        <v>12063.9389593365</v>
      </c>
      <c r="D16" s="20" t="n">
        <f aca="false">Смена!Q16*c_el</f>
        <v>3131.89125373603</v>
      </c>
      <c r="E16" s="20" t="n">
        <f aca="false">Смена!W16*c_D</f>
        <v>6347.79786382292</v>
      </c>
      <c r="F16" s="20" t="n">
        <f aca="false">k_RM_ET*rm_h_D*Смена!D16</f>
        <v>395.268634044702</v>
      </c>
      <c r="G16" s="20" t="n">
        <f aca="false">rm_h_D*Смена!D16</f>
        <v>658.78105674117</v>
      </c>
      <c r="H16" s="13" t="n">
        <f aca="false">T_year_h/Смена!D16</f>
        <v>128.125227382734</v>
      </c>
      <c r="I16" s="13" t="n">
        <f aca="false">H16*Смена!E16/E_bat_kWh</f>
        <v>307.43678083223</v>
      </c>
      <c r="J16" s="13" t="n">
        <f aca="false">MIN(bat_cycles/I16,bat_cal_y)</f>
        <v>9.75810373722694</v>
      </c>
      <c r="K16" s="12" t="n">
        <f aca="false">MAX(0,life_y/J16-1)</f>
        <v>0.0247892694407657</v>
      </c>
      <c r="L16" s="20" t="n">
        <f aca="false">(price_ET*(k_CRF-salvage*k_SFF)+C_bat*K16/(1+r_disc)^J16*k_CRF)/H16</f>
        <v>7854.41957059213</v>
      </c>
      <c r="M16" s="20" t="n">
        <f aca="false">price_D*(k_CRF-salvage*k_SFF)/H16</f>
        <v>2969.83885580394</v>
      </c>
      <c r="N16" s="20" t="n">
        <f aca="false">B16+D16+F16</f>
        <v>16988.6794208347</v>
      </c>
      <c r="O16" s="20" t="n">
        <f aca="false">C16+E16+G16</f>
        <v>19070.5178799006</v>
      </c>
      <c r="P16" s="20" t="n">
        <f aca="false">N16+L16</f>
        <v>24843.0989914268</v>
      </c>
      <c r="Q16" s="20" t="n">
        <f aca="false">O16+M16</f>
        <v>22040.3567357045</v>
      </c>
    </row>
    <row r="17" customFormat="false" ht="15" hidden="false" customHeight="false" outlineLevel="0" collapsed="false">
      <c r="A17" s="17" t="str">
        <f aca="false">Смена!A17</f>
        <v>фреза 0.16×2.7</v>
      </c>
      <c r="B17" s="20" t="n">
        <f aca="false">wage_h*(Смена!D17+2*t_tr*(1+Смена!O17)/Смена!P17)</f>
        <v>9202.85224641285</v>
      </c>
      <c r="C17" s="20" t="n">
        <f aca="false">wage_h*(Смена!D17+2*t_tr/Смена!V17)</f>
        <v>8248.12429140699</v>
      </c>
      <c r="D17" s="20" t="n">
        <f aca="false">Смена!Q17*c_el</f>
        <v>2762.39511215494</v>
      </c>
      <c r="E17" s="20" t="n">
        <f aca="false">Смена!W17*c_D</f>
        <v>5123.5366887117</v>
      </c>
      <c r="F17" s="20" t="n">
        <f aca="false">k_RM_ET*rm_h_D*Смена!D17</f>
        <v>270.222007836702</v>
      </c>
      <c r="G17" s="20" t="n">
        <f aca="false">rm_h_D*Смена!D17</f>
        <v>450.37001306117</v>
      </c>
      <c r="H17" s="13" t="n">
        <f aca="false">T_year_h/Смена!D17</f>
        <v>187.415836406799</v>
      </c>
      <c r="I17" s="13" t="n">
        <f aca="false">H17*Смена!E17/E_bat_kWh</f>
        <v>403.038515660139</v>
      </c>
      <c r="J17" s="13" t="n">
        <f aca="false">MIN(bat_cycles/I17,bat_cal_y)</f>
        <v>7.4434573457236</v>
      </c>
      <c r="K17" s="12" t="n">
        <f aca="false">MAX(0,life_y/J17-1)</f>
        <v>0.343461718867131</v>
      </c>
      <c r="L17" s="20" t="n">
        <f aca="false">(price_ET*(k_CRF-salvage*k_SFF)+C_bat*K17/(1+r_disc)^J17*k_CRF)/H17</f>
        <v>5695.64214306599</v>
      </c>
      <c r="M17" s="20" t="n">
        <f aca="false">price_D*(k_CRF-salvage*k_SFF)/H17</f>
        <v>2030.30483434726</v>
      </c>
      <c r="N17" s="20" t="n">
        <f aca="false">B17+D17+F17</f>
        <v>12235.4693664045</v>
      </c>
      <c r="O17" s="20" t="n">
        <f aca="false">C17+E17+G17</f>
        <v>13822.0309931799</v>
      </c>
      <c r="P17" s="20" t="n">
        <f aca="false">N17+L17</f>
        <v>17931.1115094705</v>
      </c>
      <c r="Q17" s="20" t="n">
        <f aca="false">O17+M17</f>
        <v>15852.3358275271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8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13" min="2" style="0" width="11"/>
  </cols>
  <sheetData>
    <row r="1" customFormat="false" ht="15" hidden="false" customHeight="false" outlineLevel="0" collapsed="false">
      <c r="A1" s="2" t="s">
        <v>391</v>
      </c>
    </row>
    <row r="2" customFormat="false" ht="15" hidden="false" customHeight="false" outlineLevel="0" collapsed="false">
      <c r="A2" s="9" t="s">
        <v>392</v>
      </c>
      <c r="B2" s="9" t="s">
        <v>393</v>
      </c>
      <c r="C2" s="9" t="s">
        <v>394</v>
      </c>
      <c r="D2" s="9" t="s">
        <v>395</v>
      </c>
      <c r="E2" s="9" t="s">
        <v>396</v>
      </c>
      <c r="F2" s="9" t="s">
        <v>397</v>
      </c>
      <c r="G2" s="9" t="s">
        <v>398</v>
      </c>
      <c r="H2" s="9" t="s">
        <v>399</v>
      </c>
      <c r="I2" s="9" t="s">
        <v>400</v>
      </c>
    </row>
    <row r="3" customFormat="false" ht="15" hidden="false" customHeight="false" outlineLevel="0" collapsed="false">
      <c r="A3" s="5" t="s">
        <v>401</v>
      </c>
      <c r="B3" s="6" t="n">
        <v>1</v>
      </c>
      <c r="C3" s="21" t="n">
        <v>0.5</v>
      </c>
      <c r="D3" s="21" t="n">
        <v>0.5</v>
      </c>
      <c r="E3" s="21" t="n">
        <v>2</v>
      </c>
      <c r="F3" s="21" t="n">
        <v>1</v>
      </c>
      <c r="G3" s="15" t="n">
        <f aca="false">GEOMEAN(B3:F3)</f>
        <v>0.870550563296124</v>
      </c>
      <c r="H3" s="15" t="n">
        <f aca="false">G3/SUM($G$3:$G$7)</f>
        <v>0.157795219103876</v>
      </c>
      <c r="I3" s="15" t="n">
        <f aca="false">SUMPRODUCT(B3:F3,$B$9:$F$9)/H3</f>
        <v>5.010130168036</v>
      </c>
    </row>
    <row r="4" customFormat="false" ht="15" hidden="false" customHeight="false" outlineLevel="0" collapsed="false">
      <c r="A4" s="5" t="s">
        <v>402</v>
      </c>
      <c r="B4" s="11" t="n">
        <f aca="false">1/C3</f>
        <v>2</v>
      </c>
      <c r="C4" s="6" t="n">
        <v>1</v>
      </c>
      <c r="D4" s="21" t="n">
        <v>1</v>
      </c>
      <c r="E4" s="21" t="n">
        <v>3</v>
      </c>
      <c r="F4" s="21" t="n">
        <v>2</v>
      </c>
      <c r="G4" s="15" t="n">
        <f aca="false">GEOMEAN(B4:F4)</f>
        <v>1.64375182951723</v>
      </c>
      <c r="H4" s="15" t="n">
        <f aca="false">G4/SUM($G$3:$G$7)</f>
        <v>0.297944991396023</v>
      </c>
      <c r="I4" s="15" t="n">
        <f aca="false">SUMPRODUCT(B4:F4,$B$9:$F$9)/H4</f>
        <v>5.00974891108063</v>
      </c>
    </row>
    <row r="5" customFormat="false" ht="15" hidden="false" customHeight="false" outlineLevel="0" collapsed="false">
      <c r="A5" s="5" t="s">
        <v>403</v>
      </c>
      <c r="B5" s="11" t="n">
        <f aca="false">1/D3</f>
        <v>2</v>
      </c>
      <c r="C5" s="11" t="n">
        <f aca="false">1/D4</f>
        <v>1</v>
      </c>
      <c r="D5" s="6" t="n">
        <v>1</v>
      </c>
      <c r="E5" s="21" t="n">
        <v>3</v>
      </c>
      <c r="F5" s="21" t="n">
        <v>2</v>
      </c>
      <c r="G5" s="15" t="n">
        <f aca="false">GEOMEAN(B5:F5)</f>
        <v>1.64375182951723</v>
      </c>
      <c r="H5" s="15" t="n">
        <f aca="false">G5/SUM($G$3:$G$7)</f>
        <v>0.297944991396023</v>
      </c>
      <c r="I5" s="15" t="n">
        <f aca="false">SUMPRODUCT(B5:F5,$B$9:$F$9)/H5</f>
        <v>5.00974891108063</v>
      </c>
    </row>
    <row r="6" customFormat="false" ht="15" hidden="false" customHeight="false" outlineLevel="0" collapsed="false">
      <c r="A6" s="5" t="s">
        <v>404</v>
      </c>
      <c r="B6" s="11" t="n">
        <f aca="false">1/E3</f>
        <v>0.5</v>
      </c>
      <c r="C6" s="11" t="n">
        <f aca="false">1/E4</f>
        <v>0.333333333333333</v>
      </c>
      <c r="D6" s="11" t="n">
        <f aca="false">1/E5</f>
        <v>0.333333333333333</v>
      </c>
      <c r="E6" s="6" t="n">
        <v>1</v>
      </c>
      <c r="F6" s="21" t="n">
        <v>0.5</v>
      </c>
      <c r="G6" s="15" t="n">
        <f aca="false">GEOMEAN(B6:F6)</f>
        <v>0.488359341930587</v>
      </c>
      <c r="H6" s="15" t="n">
        <f aca="false">G6/SUM($G$3:$G$7)</f>
        <v>0.0885195790002019</v>
      </c>
      <c r="I6" s="15" t="n">
        <f aca="false">SUMPRODUCT(B6:F6,$B$9:$F$9)/H6</f>
        <v>5.0265127488584</v>
      </c>
    </row>
    <row r="7" customFormat="false" ht="15" hidden="false" customHeight="false" outlineLevel="0" collapsed="false">
      <c r="A7" s="5" t="s">
        <v>405</v>
      </c>
      <c r="B7" s="11" t="n">
        <f aca="false">1/F3</f>
        <v>1</v>
      </c>
      <c r="C7" s="11" t="n">
        <f aca="false">1/F4</f>
        <v>0.5</v>
      </c>
      <c r="D7" s="11" t="n">
        <f aca="false">1/F5</f>
        <v>0.5</v>
      </c>
      <c r="E7" s="11" t="n">
        <f aca="false">1/F6</f>
        <v>2</v>
      </c>
      <c r="F7" s="6" t="n">
        <v>1</v>
      </c>
      <c r="G7" s="15" t="n">
        <f aca="false">GEOMEAN(B7:F7)</f>
        <v>0.870550563296124</v>
      </c>
      <c r="H7" s="15" t="n">
        <f aca="false">G7/SUM($G$3:$G$7)</f>
        <v>0.157795219103876</v>
      </c>
      <c r="I7" s="15" t="n">
        <f aca="false">SUMPRODUCT(B7:F7,$B$9:$F$9)/H7</f>
        <v>5.010130168036</v>
      </c>
    </row>
    <row r="9" customFormat="false" ht="15" hidden="false" customHeight="false" outlineLevel="0" collapsed="false">
      <c r="A9" s="6" t="s">
        <v>406</v>
      </c>
      <c r="B9" s="15" t="n">
        <f aca="false">H3</f>
        <v>0.157795219103876</v>
      </c>
      <c r="C9" s="15" t="n">
        <f aca="false">H4</f>
        <v>0.297944991396023</v>
      </c>
      <c r="D9" s="15" t="n">
        <f aca="false">H5</f>
        <v>0.297944991396023</v>
      </c>
      <c r="E9" s="15" t="n">
        <f aca="false">H6</f>
        <v>0.0885195790002019</v>
      </c>
      <c r="F9" s="15" t="n">
        <f aca="false">H7</f>
        <v>0.157795219103876</v>
      </c>
    </row>
    <row r="10" customFormat="false" ht="15" hidden="false" customHeight="false" outlineLevel="0" collapsed="false">
      <c r="A10" s="6" t="s">
        <v>407</v>
      </c>
      <c r="B10" s="15" t="n">
        <f aca="false">AVERAGE(I3:I7)</f>
        <v>5.01325418141833</v>
      </c>
    </row>
    <row r="11" customFormat="false" ht="15" hidden="false" customHeight="false" outlineLevel="0" collapsed="false">
      <c r="A11" s="6" t="s">
        <v>408</v>
      </c>
      <c r="B11" s="15" t="n">
        <f aca="false">(B10-5)/4</f>
        <v>0.00331354535458295</v>
      </c>
    </row>
    <row r="12" customFormat="false" ht="15" hidden="false" customHeight="false" outlineLevel="0" collapsed="false">
      <c r="A12" s="6" t="s">
        <v>409</v>
      </c>
      <c r="B12" s="22" t="n">
        <f aca="false">B11/1.12</f>
        <v>0.00295852263802049</v>
      </c>
    </row>
    <row r="15" customFormat="false" ht="15" hidden="false" customHeight="false" outlineLevel="0" collapsed="false">
      <c r="A15" s="2" t="s">
        <v>410</v>
      </c>
    </row>
    <row r="16" customFormat="false" ht="15" hidden="false" customHeight="false" outlineLevel="0" collapsed="false">
      <c r="A16" s="9" t="s">
        <v>401</v>
      </c>
      <c r="B16" s="9" t="s">
        <v>411</v>
      </c>
      <c r="C16" s="9" t="s">
        <v>412</v>
      </c>
      <c r="D16" s="9" t="s">
        <v>413</v>
      </c>
      <c r="E16" s="9" t="s">
        <v>414</v>
      </c>
    </row>
    <row r="17" customFormat="false" ht="15" hidden="false" customHeight="false" outlineLevel="0" collapsed="false">
      <c r="A17" s="5" t="s">
        <v>411</v>
      </c>
      <c r="B17" s="6" t="n">
        <v>1</v>
      </c>
      <c r="C17" s="21" t="n">
        <v>0.5</v>
      </c>
      <c r="D17" s="15" t="n">
        <f aca="false">GEOMEAN(B17:C17)</f>
        <v>0.707106781186548</v>
      </c>
      <c r="E17" s="15" t="n">
        <f aca="false">D17/SUM($D$17:$D$18)</f>
        <v>0.333333333333333</v>
      </c>
    </row>
    <row r="18" customFormat="false" ht="15" hidden="false" customHeight="false" outlineLevel="0" collapsed="false">
      <c r="A18" s="5" t="s">
        <v>412</v>
      </c>
      <c r="B18" s="11" t="n">
        <f aca="false">1/C17</f>
        <v>2</v>
      </c>
      <c r="C18" s="6" t="n">
        <v>1</v>
      </c>
      <c r="D18" s="15" t="n">
        <f aca="false">GEOMEAN(B18:C18)</f>
        <v>1.4142135623731</v>
      </c>
      <c r="E18" s="15" t="n">
        <f aca="false">D18/SUM($D$17:$D$18)</f>
        <v>0.666666666666667</v>
      </c>
    </row>
    <row r="20" customFormat="false" ht="15" hidden="false" customHeight="false" outlineLevel="0" collapsed="false">
      <c r="A20" s="9" t="s">
        <v>402</v>
      </c>
      <c r="B20" s="9" t="s">
        <v>415</v>
      </c>
      <c r="C20" s="9" t="s">
        <v>416</v>
      </c>
      <c r="D20" s="9" t="s">
        <v>417</v>
      </c>
      <c r="E20" s="9" t="s">
        <v>413</v>
      </c>
      <c r="F20" s="9" t="s">
        <v>414</v>
      </c>
    </row>
    <row r="21" customFormat="false" ht="15" hidden="false" customHeight="false" outlineLevel="0" collapsed="false">
      <c r="A21" s="5" t="s">
        <v>415</v>
      </c>
      <c r="B21" s="6" t="n">
        <v>1</v>
      </c>
      <c r="C21" s="21" t="n">
        <v>3</v>
      </c>
      <c r="D21" s="21" t="n">
        <v>2</v>
      </c>
      <c r="E21" s="15" t="n">
        <f aca="false">GEOMEAN(B21:D21)</f>
        <v>1.81712059283214</v>
      </c>
      <c r="F21" s="15" t="n">
        <f aca="false">E21/SUM($E$21:$E$23)</f>
        <v>0.539614550221075</v>
      </c>
    </row>
    <row r="22" customFormat="false" ht="15" hidden="false" customHeight="false" outlineLevel="0" collapsed="false">
      <c r="A22" s="5" t="s">
        <v>416</v>
      </c>
      <c r="B22" s="11" t="n">
        <f aca="false">1/C21</f>
        <v>0.333333333333333</v>
      </c>
      <c r="C22" s="6" t="n">
        <v>1</v>
      </c>
      <c r="D22" s="21" t="n">
        <v>0.5</v>
      </c>
      <c r="E22" s="15" t="n">
        <f aca="false">GEOMEAN(B22:D22)</f>
        <v>0.550321208149105</v>
      </c>
      <c r="F22" s="15" t="n">
        <f aca="false">E22/SUM($E$21:$E$23)</f>
        <v>0.163424118566428</v>
      </c>
    </row>
    <row r="23" customFormat="false" ht="15" hidden="false" customHeight="false" outlineLevel="0" collapsed="false">
      <c r="A23" s="5" t="s">
        <v>417</v>
      </c>
      <c r="B23" s="11" t="n">
        <f aca="false">1/D21</f>
        <v>0.5</v>
      </c>
      <c r="C23" s="11" t="n">
        <f aca="false">1/D22</f>
        <v>2</v>
      </c>
      <c r="D23" s="6" t="n">
        <v>1</v>
      </c>
      <c r="E23" s="15" t="n">
        <f aca="false">GEOMEAN(B23:D23)</f>
        <v>1</v>
      </c>
      <c r="F23" s="15" t="n">
        <f aca="false">E23/SUM($E$21:$E$23)</f>
        <v>0.296961331212497</v>
      </c>
    </row>
    <row r="25" customFormat="false" ht="15" hidden="false" customHeight="false" outlineLevel="0" collapsed="false">
      <c r="A25" s="9" t="s">
        <v>403</v>
      </c>
      <c r="B25" s="9" t="s">
        <v>418</v>
      </c>
      <c r="C25" s="9" t="s">
        <v>419</v>
      </c>
      <c r="D25" s="9" t="s">
        <v>413</v>
      </c>
      <c r="E25" s="9" t="s">
        <v>414</v>
      </c>
    </row>
    <row r="26" customFormat="false" ht="15" hidden="false" customHeight="false" outlineLevel="0" collapsed="false">
      <c r="A26" s="5" t="s">
        <v>418</v>
      </c>
      <c r="B26" s="6" t="n">
        <v>1</v>
      </c>
      <c r="C26" s="21" t="n">
        <v>0.5</v>
      </c>
      <c r="D26" s="15" t="n">
        <f aca="false">GEOMEAN(B26:C26)</f>
        <v>0.707106781186548</v>
      </c>
      <c r="E26" s="15" t="n">
        <f aca="false">D26/SUM($D$26:$D$27)</f>
        <v>0.333333333333333</v>
      </c>
    </row>
    <row r="27" customFormat="false" ht="15" hidden="false" customHeight="false" outlineLevel="0" collapsed="false">
      <c r="A27" s="5" t="s">
        <v>419</v>
      </c>
      <c r="B27" s="11" t="n">
        <f aca="false">1/C26</f>
        <v>2</v>
      </c>
      <c r="C27" s="6" t="n">
        <v>1</v>
      </c>
      <c r="D27" s="15" t="n">
        <f aca="false">GEOMEAN(B27:C27)</f>
        <v>1.4142135623731</v>
      </c>
      <c r="E27" s="15" t="n">
        <f aca="false">D27/SUM($D$26:$D$27)</f>
        <v>0.666666666666667</v>
      </c>
    </row>
    <row r="29" customFormat="false" ht="15" hidden="false" customHeight="false" outlineLevel="0" collapsed="false">
      <c r="A29" s="9" t="s">
        <v>404</v>
      </c>
      <c r="B29" s="9" t="s">
        <v>420</v>
      </c>
      <c r="C29" s="9" t="s">
        <v>421</v>
      </c>
      <c r="D29" s="9" t="s">
        <v>413</v>
      </c>
      <c r="E29" s="9" t="s">
        <v>414</v>
      </c>
    </row>
    <row r="30" customFormat="false" ht="15" hidden="false" customHeight="false" outlineLevel="0" collapsed="false">
      <c r="A30" s="5" t="s">
        <v>420</v>
      </c>
      <c r="B30" s="6" t="n">
        <v>1</v>
      </c>
      <c r="C30" s="21" t="n">
        <v>2</v>
      </c>
      <c r="D30" s="15" t="n">
        <f aca="false">GEOMEAN(B30:C30)</f>
        <v>1.4142135623731</v>
      </c>
      <c r="E30" s="15" t="n">
        <f aca="false">D30/SUM($D$30:$D$31)</f>
        <v>0.666666666666667</v>
      </c>
    </row>
    <row r="31" customFormat="false" ht="15" hidden="false" customHeight="false" outlineLevel="0" collapsed="false">
      <c r="A31" s="5" t="s">
        <v>421</v>
      </c>
      <c r="B31" s="11" t="n">
        <f aca="false">1/C30</f>
        <v>0.5</v>
      </c>
      <c r="C31" s="6" t="n">
        <v>1</v>
      </c>
      <c r="D31" s="15" t="n">
        <f aca="false">GEOMEAN(B31:C31)</f>
        <v>0.707106781186548</v>
      </c>
      <c r="E31" s="15" t="n">
        <f aca="false">D31/SUM($D$30:$D$31)</f>
        <v>0.333333333333333</v>
      </c>
    </row>
    <row r="33" customFormat="false" ht="15" hidden="false" customHeight="false" outlineLevel="0" collapsed="false">
      <c r="A33" s="9" t="s">
        <v>405</v>
      </c>
      <c r="B33" s="9" t="s">
        <v>422</v>
      </c>
      <c r="C33" s="9" t="s">
        <v>413</v>
      </c>
      <c r="D33" s="9" t="s">
        <v>414</v>
      </c>
    </row>
    <row r="34" customFormat="false" ht="15" hidden="false" customHeight="false" outlineLevel="0" collapsed="false">
      <c r="A34" s="5" t="s">
        <v>422</v>
      </c>
      <c r="B34" s="6" t="n">
        <v>1</v>
      </c>
      <c r="C34" s="15" t="n">
        <f aca="false">GEOMEAN(B34:B34)</f>
        <v>1</v>
      </c>
      <c r="D34" s="15" t="n">
        <f aca="false">C34/SUM($C$34:$C$34)</f>
        <v>1</v>
      </c>
    </row>
    <row r="37" customFormat="false" ht="15" hidden="false" customHeight="false" outlineLevel="0" collapsed="false">
      <c r="A37" s="2" t="s">
        <v>423</v>
      </c>
    </row>
    <row r="38" customFormat="false" ht="15" hidden="false" customHeight="false" outlineLevel="0" collapsed="false">
      <c r="A38" s="9" t="s">
        <v>424</v>
      </c>
      <c r="B38" s="9" t="s">
        <v>392</v>
      </c>
      <c r="C38" s="9" t="s">
        <v>425</v>
      </c>
      <c r="D38" s="9" t="s">
        <v>426</v>
      </c>
      <c r="E38" s="9" t="s">
        <v>427</v>
      </c>
    </row>
    <row r="39" customFormat="false" ht="15" hidden="false" customHeight="false" outlineLevel="0" collapsed="false">
      <c r="A39" s="5" t="s">
        <v>411</v>
      </c>
      <c r="B39" s="6" t="s">
        <v>401</v>
      </c>
      <c r="C39" s="15" t="n">
        <f aca="false">$H$3*$E$17</f>
        <v>0.0525984063679585</v>
      </c>
      <c r="D39" s="23" t="n">
        <f aca="false">Энтропия!B$40</f>
        <v>0.0891980592636056</v>
      </c>
      <c r="E39" s="22" t="n">
        <f aca="false">(alpha_w*C39+(1-alpha_w)*D39)/(alpha_w*SUM($C$39:$C$48)+(1-alpha_w)*SUM($D$39:$D$48))</f>
        <v>0.0708982328157821</v>
      </c>
    </row>
    <row r="40" customFormat="false" ht="15" hidden="false" customHeight="false" outlineLevel="0" collapsed="false">
      <c r="A40" s="5" t="s">
        <v>412</v>
      </c>
      <c r="B40" s="6" t="s">
        <v>401</v>
      </c>
      <c r="C40" s="15" t="n">
        <f aca="false">$H$3*$E$18</f>
        <v>0.105196812735917</v>
      </c>
      <c r="D40" s="23" t="n">
        <f aca="false">Энтропия!C$40</f>
        <v>0.0671617380668589</v>
      </c>
      <c r="E40" s="22" t="n">
        <f aca="false">(alpha_w*C40+(1-alpha_w)*D40)/(alpha_w*SUM($C$39:$C$48)+(1-alpha_w)*SUM($D$39:$D$48))</f>
        <v>0.086179275401388</v>
      </c>
    </row>
    <row r="41" customFormat="false" ht="15" hidden="false" customHeight="false" outlineLevel="0" collapsed="false">
      <c r="A41" s="5" t="s">
        <v>415</v>
      </c>
      <c r="B41" s="6" t="s">
        <v>402</v>
      </c>
      <c r="C41" s="15" t="n">
        <f aca="false">$H$4*$F$21</f>
        <v>0.160775452522787</v>
      </c>
      <c r="D41" s="23" t="n">
        <f aca="false">Энтропия!D$40</f>
        <v>0.148367179182092</v>
      </c>
      <c r="E41" s="22" t="n">
        <f aca="false">(alpha_w*C41+(1-alpha_w)*D41)/(alpha_w*SUM($C$39:$C$48)+(1-alpha_w)*SUM($D$39:$D$48))</f>
        <v>0.15457131585244</v>
      </c>
    </row>
    <row r="42" customFormat="false" ht="15" hidden="false" customHeight="false" outlineLevel="0" collapsed="false">
      <c r="A42" s="5" t="s">
        <v>416</v>
      </c>
      <c r="B42" s="6" t="s">
        <v>402</v>
      </c>
      <c r="C42" s="15" t="n">
        <f aca="false">$H$4*$F$22</f>
        <v>0.0486913976001771</v>
      </c>
      <c r="D42" s="23" t="n">
        <f aca="false">Энтропия!E$40</f>
        <v>0.1798679769271</v>
      </c>
      <c r="E42" s="22" t="n">
        <f aca="false">(alpha_w*C42+(1-alpha_w)*D42)/(alpha_w*SUM($C$39:$C$48)+(1-alpha_w)*SUM($D$39:$D$48))</f>
        <v>0.114279687263639</v>
      </c>
    </row>
    <row r="43" customFormat="false" ht="15" hidden="false" customHeight="false" outlineLevel="0" collapsed="false">
      <c r="A43" s="5" t="s">
        <v>417</v>
      </c>
      <c r="B43" s="6" t="s">
        <v>402</v>
      </c>
      <c r="C43" s="15" t="n">
        <f aca="false">$H$4*$F$23</f>
        <v>0.0884781412730592</v>
      </c>
      <c r="D43" s="23" t="n">
        <f aca="false">Энтропия!F$40</f>
        <v>0.0323281461079743</v>
      </c>
      <c r="E43" s="22" t="n">
        <f aca="false">(alpha_w*C43+(1-alpha_w)*D43)/(alpha_w*SUM($C$39:$C$48)+(1-alpha_w)*SUM($D$39:$D$48))</f>
        <v>0.0604031436905168</v>
      </c>
    </row>
    <row r="44" customFormat="false" ht="15" hidden="false" customHeight="false" outlineLevel="0" collapsed="false">
      <c r="A44" s="5" t="s">
        <v>418</v>
      </c>
      <c r="B44" s="6" t="s">
        <v>403</v>
      </c>
      <c r="C44" s="15" t="n">
        <f aca="false">$H$5*$E$26</f>
        <v>0.0993149971320078</v>
      </c>
      <c r="D44" s="23" t="n">
        <f aca="false">Энтропия!G$40</f>
        <v>0.0772363411876609</v>
      </c>
      <c r="E44" s="22" t="n">
        <f aca="false">(alpha_w*C44+(1-alpha_w)*D44)/(alpha_w*SUM($C$39:$C$48)+(1-alpha_w)*SUM($D$39:$D$48))</f>
        <v>0.0882756691598344</v>
      </c>
    </row>
    <row r="45" customFormat="false" ht="15" hidden="false" customHeight="false" outlineLevel="0" collapsed="false">
      <c r="A45" s="5" t="s">
        <v>419</v>
      </c>
      <c r="B45" s="6" t="s">
        <v>403</v>
      </c>
      <c r="C45" s="15" t="n">
        <f aca="false">$H$5*$E$27</f>
        <v>0.198629994264016</v>
      </c>
      <c r="D45" s="23" t="n">
        <f aca="false">Энтропия!H$40</f>
        <v>0.0752397290585292</v>
      </c>
      <c r="E45" s="22" t="n">
        <f aca="false">(alpha_w*C45+(1-alpha_w)*D45)/(alpha_w*SUM($C$39:$C$48)+(1-alpha_w)*SUM($D$39:$D$48))</f>
        <v>0.136934861661272</v>
      </c>
    </row>
    <row r="46" customFormat="false" ht="15" hidden="false" customHeight="false" outlineLevel="0" collapsed="false">
      <c r="A46" s="5" t="s">
        <v>420</v>
      </c>
      <c r="B46" s="6" t="s">
        <v>404</v>
      </c>
      <c r="C46" s="15" t="n">
        <f aca="false">$H$6*$E$30</f>
        <v>0.0590130526668012</v>
      </c>
      <c r="D46" s="23" t="n">
        <f aca="false">Энтропия!I$40</f>
        <v>0.0677899978223648</v>
      </c>
      <c r="E46" s="22" t="n">
        <f aca="false">(alpha_w*C46+(1-alpha_w)*D46)/(alpha_w*SUM($C$39:$C$48)+(1-alpha_w)*SUM($D$39:$D$48))</f>
        <v>0.063401525244583</v>
      </c>
    </row>
    <row r="47" customFormat="false" ht="15" hidden="false" customHeight="false" outlineLevel="0" collapsed="false">
      <c r="A47" s="5" t="s">
        <v>421</v>
      </c>
      <c r="B47" s="6" t="s">
        <v>404</v>
      </c>
      <c r="C47" s="15" t="n">
        <f aca="false">$H$6*$E$31</f>
        <v>0.0295065263334006</v>
      </c>
      <c r="D47" s="23" t="n">
        <f aca="false">Энтропия!J$40</f>
        <v>0.167701492242112</v>
      </c>
      <c r="E47" s="22" t="n">
        <f aca="false">(alpha_w*C47+(1-alpha_w)*D47)/(alpha_w*SUM($C$39:$C$48)+(1-alpha_w)*SUM($D$39:$D$48))</f>
        <v>0.0986040092877565</v>
      </c>
    </row>
    <row r="48" customFormat="false" ht="15" hidden="false" customHeight="false" outlineLevel="0" collapsed="false">
      <c r="A48" s="5" t="s">
        <v>422</v>
      </c>
      <c r="B48" s="6" t="s">
        <v>405</v>
      </c>
      <c r="C48" s="15" t="n">
        <f aca="false">$H$7*$D$34</f>
        <v>0.157795219103876</v>
      </c>
      <c r="D48" s="23" t="n">
        <f aca="false">Энтропия!K$40</f>
        <v>0.0951093401417008</v>
      </c>
      <c r="E48" s="22" t="n">
        <f aca="false">(alpha_w*C48+(1-alpha_w)*D48)/(alpha_w*SUM($C$39:$C$48)+(1-alpha_w)*SUM($D$39:$D$48))</f>
        <v>0.126452279622788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17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0"/>
    <col collapsed="false" customWidth="true" hidden="false" outlineLevel="0" max="34" min="3" style="0" width="9"/>
  </cols>
  <sheetData>
    <row r="1" customFormat="false" ht="45" hidden="false" customHeight="true" outlineLevel="0" collapsed="false">
      <c r="A1" s="4" t="s">
        <v>352</v>
      </c>
      <c r="B1" s="4" t="s">
        <v>428</v>
      </c>
      <c r="C1" s="4" t="s">
        <v>429</v>
      </c>
      <c r="D1" s="4" t="s">
        <v>430</v>
      </c>
      <c r="E1" s="4" t="s">
        <v>431</v>
      </c>
      <c r="F1" s="4" t="s">
        <v>432</v>
      </c>
      <c r="G1" s="4" t="s">
        <v>433</v>
      </c>
      <c r="H1" s="4" t="s">
        <v>434</v>
      </c>
      <c r="I1" s="4" t="s">
        <v>435</v>
      </c>
      <c r="J1" s="4" t="s">
        <v>436</v>
      </c>
      <c r="K1" s="4" t="s">
        <v>437</v>
      </c>
      <c r="L1" s="4" t="s">
        <v>438</v>
      </c>
      <c r="M1" s="4" t="s">
        <v>439</v>
      </c>
      <c r="N1" s="4" t="s">
        <v>440</v>
      </c>
      <c r="O1" s="4" t="s">
        <v>441</v>
      </c>
      <c r="P1" s="4" t="s">
        <v>442</v>
      </c>
      <c r="Q1" s="4" t="s">
        <v>443</v>
      </c>
      <c r="R1" s="4" t="s">
        <v>444</v>
      </c>
      <c r="S1" s="4" t="s">
        <v>445</v>
      </c>
      <c r="T1" s="4" t="s">
        <v>446</v>
      </c>
      <c r="U1" s="4" t="s">
        <v>447</v>
      </c>
      <c r="V1" s="4" t="s">
        <v>448</v>
      </c>
      <c r="W1" s="4" t="s">
        <v>449</v>
      </c>
      <c r="X1" s="4" t="s">
        <v>450</v>
      </c>
      <c r="Y1" s="4" t="s">
        <v>451</v>
      </c>
      <c r="Z1" s="4" t="s">
        <v>452</v>
      </c>
      <c r="AA1" s="4" t="s">
        <v>453</v>
      </c>
      <c r="AB1" s="4" t="s">
        <v>454</v>
      </c>
      <c r="AC1" s="4" t="s">
        <v>455</v>
      </c>
      <c r="AD1" s="4" t="s">
        <v>456</v>
      </c>
      <c r="AE1" s="4" t="s">
        <v>457</v>
      </c>
      <c r="AF1" s="4" t="s">
        <v>458</v>
      </c>
      <c r="AG1" s="4" t="s">
        <v>459</v>
      </c>
      <c r="AH1" s="4" t="s">
        <v>460</v>
      </c>
    </row>
    <row r="2" customFormat="false" ht="15" hidden="false" customHeight="false" outlineLevel="0" collapsed="false">
      <c r="A2" s="17" t="str">
        <f aca="false">Смена!A2</f>
        <v>культиватор 0.08×3.6</v>
      </c>
      <c r="B2" s="19" t="b">
        <f aca="false">AND(Энергетика!Q2,Энергетика!R2)</f>
        <v>1</v>
      </c>
      <c r="C2" s="12" t="n">
        <f aca="false">IF(S_task&gt;0,S_task,Смена!V2)</f>
        <v>2.8207156997683</v>
      </c>
      <c r="D2" s="11" t="n">
        <f aca="false">3.6*Смена!Q2</f>
        <v>79.2014401416618</v>
      </c>
      <c r="E2" s="11" t="n">
        <f aca="false">3.6*Смена!Q2*PEF_el</f>
        <v>198.003600354155</v>
      </c>
      <c r="F2" s="11" t="n">
        <f aca="false">MIN(1,Смена!P2/C2)</f>
        <v>0.292748360411437</v>
      </c>
      <c r="G2" s="11" t="n">
        <f aca="false">100*Энергетика!I2</f>
        <v>11.2085588444346</v>
      </c>
      <c r="H2" s="11" t="n">
        <f aca="false">100*Энергетика!O2</f>
        <v>54.017639948585</v>
      </c>
      <c r="I2" s="11" t="n">
        <f aca="false">Экономика!N2</f>
        <v>8103.3814753019</v>
      </c>
      <c r="J2" s="11" t="n">
        <f aca="false">Экономика!P2</f>
        <v>12384.5599105601</v>
      </c>
      <c r="K2" s="11" t="n">
        <f aca="false">Смена!Q2*EF_grid</f>
        <v>13.3322424238464</v>
      </c>
      <c r="L2" s="11" t="n">
        <f aca="false">0</f>
        <v>0</v>
      </c>
      <c r="M2" s="11" t="n">
        <f aca="false">MIN(1,Смена!H2/C2)</f>
        <v>0.308653026915336</v>
      </c>
      <c r="N2" s="11" t="n">
        <f aca="false">Смена!W2*LHV_D</f>
        <v>273.563852600782</v>
      </c>
      <c r="O2" s="11" t="n">
        <f aca="false">Смена!W2*LHV_D*PEF_D</f>
        <v>314.598430490899</v>
      </c>
      <c r="P2" s="11" t="n">
        <f aca="false">MIN(1,Смена!V2/C2)</f>
        <v>1</v>
      </c>
      <c r="Q2" s="11" t="n">
        <f aca="false">100*Энергетика!K2</f>
        <v>12.2602312135218</v>
      </c>
      <c r="R2" s="11" t="n">
        <f aca="false">100*Энергетика!P2</f>
        <v>58.5975931686047</v>
      </c>
      <c r="S2" s="11" t="n">
        <f aca="false">Экономика!O2</f>
        <v>9592.11014120956</v>
      </c>
      <c r="T2" s="11" t="n">
        <f aca="false">Экономика!Q2</f>
        <v>11217.6703741459</v>
      </c>
      <c r="U2" s="11" t="n">
        <f aca="false">Смена!W2*EF_D</f>
        <v>20.422036907245</v>
      </c>
      <c r="V2" s="11" t="n">
        <f aca="false">Смена!W2*EF_D</f>
        <v>20.422036907245</v>
      </c>
      <c r="W2" s="11" t="n">
        <f aca="false">MIN(1,Смена!X2/C2)</f>
        <v>1</v>
      </c>
      <c r="X2" s="11" t="n">
        <f aca="false">IF(MAX(ABS(D2),ABS(N2))=0,0,-1*(D2-N2)/MAX(ABS(D2),ABS(N2)))</f>
        <v>0.710482801771174</v>
      </c>
      <c r="Y2" s="11" t="n">
        <f aca="false">IF(MAX(ABS(E2),ABS(O2))=0,0,-1*(E2-O2)/MAX(ABS(E2),ABS(O2)))</f>
        <v>0.370614786459074</v>
      </c>
      <c r="Z2" s="11" t="n">
        <f aca="false">IF(MAX(ABS(F2),ABS(P2))=0,0,1*(F2-P2)/MAX(ABS(F2),ABS(P2)))</f>
        <v>-0.707251639588563</v>
      </c>
      <c r="AA2" s="11" t="n">
        <f aca="false">IF(MAX(ABS(G2),ABS(Q2))=0,0,-1*(G2-Q2)/MAX(ABS(G2),ABS(Q2)))</f>
        <v>0.0857791627883248</v>
      </c>
      <c r="AB2" s="11" t="n">
        <f aca="false">IF(MAX(ABS(H2),ABS(R2))=0,0,1*(H2-R2)/MAX(ABS(H2),ABS(R2)))</f>
        <v>-0.0781594084733428</v>
      </c>
      <c r="AC2" s="11" t="n">
        <f aca="false">IF(MAX(ABS(I2),ABS(S2))=0,0,-1*(I2-S2)/MAX(ABS(I2),ABS(S2)))</f>
        <v>0.155203458258032</v>
      </c>
      <c r="AD2" s="11" t="n">
        <f aca="false">IF(MAX(ABS(J2),ABS(T2))=0,0,-1*(J2-T2)/MAX(ABS(J2),ABS(T2)))</f>
        <v>-0.0942213162874799</v>
      </c>
      <c r="AE2" s="11" t="n">
        <f aca="false">IF(MAX(ABS(K2),ABS(U2))=0,0,-1*(K2-U2)/MAX(ABS(K2),ABS(U2)))</f>
        <v>0.347163924715236</v>
      </c>
      <c r="AF2" s="11" t="n">
        <f aca="false">IF(MAX(ABS(L2),ABS(V2))=0,0,-1*(L2-V2)/MAX(ABS(L2),ABS(V2)))</f>
        <v>1</v>
      </c>
      <c r="AG2" s="11" t="n">
        <f aca="false">IF(MAX(ABS(M2),ABS(W2))=0,0,1*(M2-W2)/MAX(ABS(M2),ABS(W2)))</f>
        <v>-0.691346973084664</v>
      </c>
      <c r="AH2" s="24" t="n">
        <f aca="false">Веса!$E$39*X2+Веса!$E$40*Y2+Веса!$E$41*Z2+Веса!$E$42*AA2+Веса!$E$43*AB2+Веса!$E$44*AC2+Веса!$E$45*AD2+Веса!$E$46*AE2+Веса!$E$47*AF2+Веса!$E$48*AG2</f>
        <v>0.0120630512780777</v>
      </c>
    </row>
    <row r="3" customFormat="false" ht="15" hidden="false" customHeight="false" outlineLevel="0" collapsed="false">
      <c r="A3" s="17" t="str">
        <f aca="false">Смена!A3</f>
        <v>культиватор 0.08×4.5</v>
      </c>
      <c r="B3" s="19" t="b">
        <f aca="false">AND(Энергетика!Q3,Энергетика!R3)</f>
        <v>1</v>
      </c>
      <c r="C3" s="12" t="n">
        <f aca="false">IF(S_task&gt;0,S_task,Смена!V3)</f>
        <v>3.4365532677576</v>
      </c>
      <c r="D3" s="11" t="n">
        <f aca="false">3.6*Смена!Q3</f>
        <v>83.7304742003256</v>
      </c>
      <c r="E3" s="11" t="n">
        <f aca="false">3.6*Смена!Q3*PEF_el</f>
        <v>209.326185500814</v>
      </c>
      <c r="F3" s="11" t="n">
        <f aca="false">MIN(1,Смена!P3/C3)</f>
        <v>0.264583490346306</v>
      </c>
      <c r="G3" s="11" t="n">
        <f aca="false">100*Энергетика!I3</f>
        <v>11.4233482719693</v>
      </c>
      <c r="H3" s="11" t="n">
        <f aca="false">100*Энергетика!O3</f>
        <v>41.5668833818481</v>
      </c>
      <c r="I3" s="11" t="n">
        <f aca="false">Экономика!N3</f>
        <v>7275.04417602259</v>
      </c>
      <c r="J3" s="11" t="n">
        <f aca="false">Экономика!P3</f>
        <v>10782.9675069878</v>
      </c>
      <c r="K3" s="11" t="n">
        <f aca="false">Смена!Q3*EF_grid</f>
        <v>14.0946298237215</v>
      </c>
      <c r="L3" s="11" t="n">
        <f aca="false">0</f>
        <v>0</v>
      </c>
      <c r="M3" s="11" t="n">
        <f aca="false">MIN(1,Смена!H3/C3)</f>
        <v>0.249366970666296</v>
      </c>
      <c r="N3" s="11" t="n">
        <f aca="false">Смена!W3*LHV_D</f>
        <v>248.500846434922</v>
      </c>
      <c r="O3" s="11" t="n">
        <f aca="false">Смена!W3*LHV_D*PEF_D</f>
        <v>285.77597340016</v>
      </c>
      <c r="P3" s="11" t="n">
        <f aca="false">MIN(1,Смена!V3/C3)</f>
        <v>1</v>
      </c>
      <c r="Q3" s="11" t="n">
        <f aca="false">100*Энергетика!K3</f>
        <v>12.5304749205275</v>
      </c>
      <c r="R3" s="11" t="n">
        <f aca="false">100*Энергетика!P3</f>
        <v>47.3027227543737</v>
      </c>
      <c r="S3" s="11" t="n">
        <f aca="false">Экономика!O3</f>
        <v>8093.75243187392</v>
      </c>
      <c r="T3" s="11" t="n">
        <f aca="false">Экономика!Q3</f>
        <v>9425.70828310507</v>
      </c>
      <c r="U3" s="11" t="n">
        <f aca="false">Смена!W3*EF_D</f>
        <v>18.5510381182616</v>
      </c>
      <c r="V3" s="11" t="n">
        <f aca="false">Смена!W3*EF_D</f>
        <v>18.5510381182616</v>
      </c>
      <c r="W3" s="11" t="n">
        <f aca="false">MIN(1,Смена!X3/C3)</f>
        <v>0.938476952129669</v>
      </c>
      <c r="X3" s="11" t="n">
        <f aca="false">IF(MAX(ABS(D3),ABS(N3))=0,0,-1*(D3-N3)/MAX(ABS(D3),ABS(N3)))</f>
        <v>0.6630575895352</v>
      </c>
      <c r="Y3" s="11" t="n">
        <f aca="false">IF(MAX(ABS(E3),ABS(O3))=0,0,-1*(E3-O3)/MAX(ABS(E3),ABS(O3)))</f>
        <v>0.267516498989565</v>
      </c>
      <c r="Z3" s="11" t="n">
        <f aca="false">IF(MAX(ABS(F3),ABS(P3))=0,0,1*(F3-P3)/MAX(ABS(F3),ABS(P3)))</f>
        <v>-0.735416509653694</v>
      </c>
      <c r="AA3" s="11" t="n">
        <f aca="false">IF(MAX(ABS(G3),ABS(Q3))=0,0,-1*(G3-Q3)/MAX(ABS(G3),ABS(Q3)))</f>
        <v>0.088354723630192</v>
      </c>
      <c r="AB3" s="11" t="n">
        <f aca="false">IF(MAX(ABS(H3),ABS(R3))=0,0,1*(H3-R3)/MAX(ABS(H3),ABS(R3)))</f>
        <v>-0.121258122969151</v>
      </c>
      <c r="AC3" s="11" t="n">
        <f aca="false">IF(MAX(ABS(I3),ABS(S3))=0,0,-1*(I3-S3)/MAX(ABS(I3),ABS(S3)))</f>
        <v>0.1011531131873</v>
      </c>
      <c r="AD3" s="11" t="n">
        <f aca="false">IF(MAX(ABS(J3),ABS(T3))=0,0,-1*(J3-T3)/MAX(ABS(J3),ABS(T3)))</f>
        <v>-0.125870658796215</v>
      </c>
      <c r="AE3" s="11" t="n">
        <f aca="false">IF(MAX(ABS(K3),ABS(U3))=0,0,-1*(K3-U3)/MAX(ABS(K3),ABS(U3)))</f>
        <v>0.240224200183882</v>
      </c>
      <c r="AF3" s="11" t="n">
        <f aca="false">IF(MAX(ABS(L3),ABS(V3))=0,0,-1*(L3-V3)/MAX(ABS(L3),ABS(V3)))</f>
        <v>1</v>
      </c>
      <c r="AG3" s="11" t="n">
        <f aca="false">IF(MAX(ABS(M3),ABS(W3))=0,0,1*(M3-W3)/MAX(ABS(M3),ABS(W3)))</f>
        <v>-0.734285461032994</v>
      </c>
      <c r="AH3" s="24" t="n">
        <f aca="false">Веса!$E$39*X3+Веса!$E$40*Y3+Веса!$E$41*Z3+Веса!$E$42*AA3+Веса!$E$43*AB3+Веса!$E$44*AC3+Веса!$E$45*AD3+Веса!$E$46*AE3+Веса!$E$47*AF3+Веса!$E$48*AG3</f>
        <v>-0.0281617328001106</v>
      </c>
    </row>
    <row r="4" customFormat="false" ht="15" hidden="false" customHeight="false" outlineLevel="0" collapsed="false">
      <c r="A4" s="17" t="str">
        <f aca="false">Смена!A4</f>
        <v>культиватор 0.08×5.4</v>
      </c>
      <c r="B4" s="19" t="b">
        <f aca="false">AND(Энергетика!Q4,Энергетика!R4)</f>
        <v>1</v>
      </c>
      <c r="C4" s="12" t="n">
        <f aca="false">IF(S_task&gt;0,S_task,Смена!V4)</f>
        <v>4.01943926395657</v>
      </c>
      <c r="D4" s="11" t="n">
        <f aca="false">3.6*Смена!Q4</f>
        <v>84.3103392984954</v>
      </c>
      <c r="E4" s="11" t="n">
        <f aca="false">3.6*Смена!Q4*PEF_el</f>
        <v>210.775848246238</v>
      </c>
      <c r="F4" s="11" t="n">
        <f aca="false">MIN(1,Смена!P4/C4)</f>
        <v>0.265184359125322</v>
      </c>
      <c r="G4" s="11" t="n">
        <f aca="false">100*Энергетика!I4</f>
        <v>11.6917080898809</v>
      </c>
      <c r="H4" s="11" t="n">
        <f aca="false">100*Энергетика!O4</f>
        <v>28.2823942139624</v>
      </c>
      <c r="I4" s="11" t="n">
        <f aca="false">Экономика!N4</f>
        <v>6369.11379135279</v>
      </c>
      <c r="J4" s="11" t="n">
        <f aca="false">Экономика!P4</f>
        <v>9361.53371945604</v>
      </c>
      <c r="K4" s="11" t="n">
        <f aca="false">Смена!Q4*EF_grid</f>
        <v>14.1922404485801</v>
      </c>
      <c r="L4" s="11" t="n">
        <f aca="false">0</f>
        <v>0</v>
      </c>
      <c r="M4" s="11" t="n">
        <f aca="false">MIN(1,Смена!H4/C4)</f>
        <v>0.20864120145626</v>
      </c>
      <c r="N4" s="11" t="n">
        <f aca="false">Смена!W4*LHV_D</f>
        <v>233.327666491738</v>
      </c>
      <c r="O4" s="11" t="n">
        <f aca="false">Смена!W4*LHV_D*PEF_D</f>
        <v>268.326816465499</v>
      </c>
      <c r="P4" s="11" t="n">
        <f aca="false">MIN(1,Смена!V4/C4)</f>
        <v>1</v>
      </c>
      <c r="Q4" s="11" t="n">
        <f aca="false">100*Энергетика!K4</f>
        <v>12.8700721161133</v>
      </c>
      <c r="R4" s="11" t="n">
        <f aca="false">100*Энергетика!P4</f>
        <v>35.1987912123686</v>
      </c>
      <c r="S4" s="11" t="n">
        <f aca="false">Экономика!O4</f>
        <v>7109.65450440559</v>
      </c>
      <c r="T4" s="11" t="n">
        <f aca="false">Экономика!Q4</f>
        <v>8245.8741011666</v>
      </c>
      <c r="U4" s="11" t="n">
        <f aca="false">Смена!W4*EF_D</f>
        <v>17.4183327631716</v>
      </c>
      <c r="V4" s="11" t="n">
        <f aca="false">Смена!W4*EF_D</f>
        <v>17.4183327631716</v>
      </c>
      <c r="W4" s="11" t="n">
        <f aca="false">MIN(1,Смена!X4/C4)</f>
        <v>0.853435265728955</v>
      </c>
      <c r="X4" s="11" t="n">
        <f aca="false">IF(MAX(ABS(D4),ABS(N4))=0,0,-1*(D4-N4)/MAX(ABS(D4),ABS(N4)))</f>
        <v>0.63866119879324</v>
      </c>
      <c r="Y4" s="11" t="n">
        <f aca="false">IF(MAX(ABS(E4),ABS(O4))=0,0,-1*(E4-O4)/MAX(ABS(E4),ABS(O4)))</f>
        <v>0.214480866941827</v>
      </c>
      <c r="Z4" s="11" t="n">
        <f aca="false">IF(MAX(ABS(F4),ABS(P4))=0,0,1*(F4-P4)/MAX(ABS(F4),ABS(P4)))</f>
        <v>-0.734815640874678</v>
      </c>
      <c r="AA4" s="11" t="n">
        <f aca="false">IF(MAX(ABS(G4),ABS(Q4))=0,0,-1*(G4-Q4)/MAX(ABS(G4),ABS(Q4)))</f>
        <v>0.0915584633560139</v>
      </c>
      <c r="AB4" s="11" t="n">
        <f aca="false">IF(MAX(ABS(H4),ABS(R4))=0,0,1*(H4-R4)/MAX(ABS(H4),ABS(R4)))</f>
        <v>-0.196495298849235</v>
      </c>
      <c r="AC4" s="11" t="n">
        <f aca="false">IF(MAX(ABS(I4),ABS(S4))=0,0,-1*(I4-S4)/MAX(ABS(I4),ABS(S4)))</f>
        <v>0.104159873393835</v>
      </c>
      <c r="AD4" s="11" t="n">
        <f aca="false">IF(MAX(ABS(J4),ABS(T4))=0,0,-1*(J4-T4)/MAX(ABS(J4),ABS(T4)))</f>
        <v>-0.119174875797411</v>
      </c>
      <c r="AE4" s="11" t="n">
        <f aca="false">IF(MAX(ABS(K4),ABS(U4))=0,0,-1*(K4-U4)/MAX(ABS(K4),ABS(U4)))</f>
        <v>0.185212463124634</v>
      </c>
      <c r="AF4" s="11" t="n">
        <f aca="false">IF(MAX(ABS(L4),ABS(V4))=0,0,-1*(L4-V4)/MAX(ABS(L4),ABS(V4)))</f>
        <v>1</v>
      </c>
      <c r="AG4" s="11" t="n">
        <f aca="false">IF(MAX(ABS(M4),ABS(W4))=0,0,1*(M4-W4)/MAX(ABS(M4),ABS(W4)))</f>
        <v>-0.755527794743693</v>
      </c>
      <c r="AH4" s="24" t="n">
        <f aca="false">Веса!$E$39*X4+Веса!$E$40*Y4+Веса!$E$41*Z4+Веса!$E$42*AA4+Веса!$E$43*AB4+Веса!$E$44*AC4+Веса!$E$45*AD4+Веса!$E$46*AE4+Веса!$E$47*AF4+Веса!$E$48*AG4</f>
        <v>-0.0435391882951587</v>
      </c>
    </row>
    <row r="5" customFormat="false" ht="15" hidden="false" customHeight="false" outlineLevel="0" collapsed="false">
      <c r="A5" s="17" t="str">
        <f aca="false">Смена!A5</f>
        <v>культиватор 0.11×3.6</v>
      </c>
      <c r="B5" s="19" t="b">
        <f aca="false">AND(Энергетика!Q5,Энергетика!R5)</f>
        <v>1</v>
      </c>
      <c r="C5" s="12" t="n">
        <f aca="false">IF(S_task&gt;0,S_task,Смена!V5)</f>
        <v>2.81446889522837</v>
      </c>
      <c r="D5" s="11" t="n">
        <f aca="false">3.6*Смена!Q5</f>
        <v>104.522611801164</v>
      </c>
      <c r="E5" s="11" t="n">
        <f aca="false">3.6*Смена!Q5*PEF_el</f>
        <v>261.30652950291</v>
      </c>
      <c r="F5" s="11" t="n">
        <f aca="false">MIN(1,Смена!P5/C5)</f>
        <v>0.26471352526879</v>
      </c>
      <c r="G5" s="11" t="n">
        <f aca="false">100*Энергетика!I5</f>
        <v>14.2805080846827</v>
      </c>
      <c r="H5" s="11" t="n">
        <f aca="false">100*Энергетика!O5</f>
        <v>41.0273444264469</v>
      </c>
      <c r="I5" s="11" t="n">
        <f aca="false">Экономика!N5</f>
        <v>8908.26409412744</v>
      </c>
      <c r="J5" s="11" t="n">
        <f aca="false">Экономика!P5</f>
        <v>13189.4425293856</v>
      </c>
      <c r="K5" s="11" t="n">
        <f aca="false">Смена!Q5*EF_grid</f>
        <v>17.5946396531959</v>
      </c>
      <c r="L5" s="11" t="n">
        <f aca="false">0</f>
        <v>0</v>
      </c>
      <c r="M5" s="11" t="n">
        <f aca="false">MIN(1,Смена!H5/C5)</f>
        <v>0.243386993885857</v>
      </c>
      <c r="N5" s="11" t="n">
        <f aca="false">Смена!W5*LHV_D</f>
        <v>309.898615720455</v>
      </c>
      <c r="O5" s="11" t="n">
        <f aca="false">Смена!W5*LHV_D*PEF_D</f>
        <v>356.383408078523</v>
      </c>
      <c r="P5" s="11" t="n">
        <f aca="false">MIN(1,Смена!V5/C5)</f>
        <v>1</v>
      </c>
      <c r="Q5" s="11" t="n">
        <f aca="false">100*Энергетика!K5</f>
        <v>16.2755970475233</v>
      </c>
      <c r="R5" s="11" t="n">
        <f aca="false">100*Энергетика!P5</f>
        <v>45.8216017964411</v>
      </c>
      <c r="S5" s="11" t="n">
        <f aca="false">Экономика!O5</f>
        <v>9941.54681329291</v>
      </c>
      <c r="T5" s="11" t="n">
        <f aca="false">Экономика!Q5</f>
        <v>11567.1070462293</v>
      </c>
      <c r="U5" s="11" t="n">
        <f aca="false">Смена!W5*EF_D</f>
        <v>23.1344927613042</v>
      </c>
      <c r="V5" s="11" t="n">
        <f aca="false">Смена!W5*EF_D</f>
        <v>23.1344927613042</v>
      </c>
      <c r="W5" s="11" t="n">
        <f aca="false">MIN(1,Смена!X5/C5)</f>
        <v>0.91859644385081</v>
      </c>
      <c r="X5" s="11" t="n">
        <f aca="false">IF(MAX(ABS(D5),ABS(N5))=0,0,-1*(D5-N5)/MAX(ABS(D5),ABS(N5)))</f>
        <v>0.662719978409168</v>
      </c>
      <c r="Y5" s="11" t="n">
        <f aca="false">IF(MAX(ABS(E5),ABS(O5))=0,0,-1*(E5-O5)/MAX(ABS(E5),ABS(O5)))</f>
        <v>0.266782561759062</v>
      </c>
      <c r="Z5" s="11" t="n">
        <f aca="false">IF(MAX(ABS(F5),ABS(P5))=0,0,1*(F5-P5)/MAX(ABS(F5),ABS(P5)))</f>
        <v>-0.73528647473121</v>
      </c>
      <c r="AA5" s="11" t="n">
        <f aca="false">IF(MAX(ABS(G5),ABS(Q5))=0,0,-1*(G5-Q5)/MAX(ABS(G5),ABS(Q5)))</f>
        <v>0.122581614487944</v>
      </c>
      <c r="AB5" s="11" t="n">
        <f aca="false">IF(MAX(ABS(H5),ABS(R5))=0,0,1*(H5-R5)/MAX(ABS(H5),ABS(R5)))</f>
        <v>-0.104628759843278</v>
      </c>
      <c r="AC5" s="11" t="n">
        <f aca="false">IF(MAX(ABS(I5),ABS(S5))=0,0,-1*(I5-S5)/MAX(ABS(I5),ABS(S5)))</f>
        <v>0.103935809846397</v>
      </c>
      <c r="AD5" s="11" t="n">
        <f aca="false">IF(MAX(ABS(J5),ABS(T5))=0,0,-1*(J5-T5)/MAX(ABS(J5),ABS(T5)))</f>
        <v>-0.123002581765061</v>
      </c>
      <c r="AE5" s="11" t="n">
        <f aca="false">IF(MAX(ABS(K5),ABS(U5))=0,0,-1*(K5-U5)/MAX(ABS(K5),ABS(U5)))</f>
        <v>0.239462916488684</v>
      </c>
      <c r="AF5" s="11" t="n">
        <f aca="false">IF(MAX(ABS(L5),ABS(V5))=0,0,-1*(L5-V5)/MAX(ABS(L5),ABS(V5)))</f>
        <v>1</v>
      </c>
      <c r="AG5" s="11" t="n">
        <f aca="false">IF(MAX(ABS(M5),ABS(W5))=0,0,1*(M5-W5)/MAX(ABS(M5),ABS(W5)))</f>
        <v>-0.735044702692769</v>
      </c>
      <c r="AH5" s="24" t="n">
        <f aca="false">Веса!$E$39*X5+Веса!$E$40*Y5+Веса!$E$41*Z5+Веса!$E$42*AA5+Веса!$E$43*AB5+Веса!$E$44*AC5+Веса!$E$45*AD5+Веса!$E$46*AE5+Веса!$E$47*AF5+Веса!$E$48*AG5</f>
        <v>-0.0228188053932973</v>
      </c>
    </row>
    <row r="6" customFormat="false" ht="15" hidden="false" customHeight="false" outlineLevel="0" collapsed="false">
      <c r="A6" s="17" t="str">
        <f aca="false">Смена!A6</f>
        <v>культиватор 0.11×4.5</v>
      </c>
      <c r="B6" s="19" t="b">
        <f aca="false">AND(Энергетика!Q6,Энергетика!R6)</f>
        <v>1</v>
      </c>
      <c r="C6" s="12" t="n">
        <f aca="false">IF(S_task&gt;0,S_task,Смена!V6)</f>
        <v>3.42472400749368</v>
      </c>
      <c r="D6" s="11" t="n">
        <f aca="false">3.6*Смена!Q6</f>
        <v>104.919642512105</v>
      </c>
      <c r="E6" s="11" t="n">
        <f aca="false">3.6*Смена!Q6*PEF_el</f>
        <v>262.299106280263</v>
      </c>
      <c r="F6" s="11" t="n">
        <f aca="false">MIN(1,Смена!P6/C6)</f>
        <v>0.265497382082398</v>
      </c>
      <c r="G6" s="11" t="n">
        <f aca="false">100*Энергетика!I6</f>
        <v>14.6744112263426</v>
      </c>
      <c r="H6" s="11" t="n">
        <f aca="false">100*Энергетика!O6</f>
        <v>24.6639811655694</v>
      </c>
      <c r="I6" s="11" t="n">
        <f aca="false">Экономика!N6</f>
        <v>7543.38144917093</v>
      </c>
      <c r="J6" s="11" t="n">
        <f aca="false">Экономика!P6</f>
        <v>11051.3047801361</v>
      </c>
      <c r="K6" s="11" t="n">
        <f aca="false">Смена!Q6*EF_grid</f>
        <v>17.6614731562044</v>
      </c>
      <c r="L6" s="11" t="n">
        <f aca="false">0</f>
        <v>0</v>
      </c>
      <c r="M6" s="11" t="n">
        <f aca="false">MIN(1,Смена!H6/C6)</f>
        <v>0.195851276245049</v>
      </c>
      <c r="N6" s="11" t="n">
        <f aca="false">Смена!W6*LHV_D</f>
        <v>286.513394582876</v>
      </c>
      <c r="O6" s="11" t="n">
        <f aca="false">Смена!W6*LHV_D*PEF_D</f>
        <v>329.490403770308</v>
      </c>
      <c r="P6" s="11" t="n">
        <f aca="false">MIN(1,Смена!V6/C6)</f>
        <v>1</v>
      </c>
      <c r="Q6" s="11" t="n">
        <f aca="false">100*Энергетика!K6</f>
        <v>16.8179511392717</v>
      </c>
      <c r="R6" s="11" t="n">
        <f aca="false">100*Энергетика!P6</f>
        <v>30.5962996934535</v>
      </c>
      <c r="S6" s="11" t="n">
        <f aca="false">Экономика!O6</f>
        <v>8459.38438136833</v>
      </c>
      <c r="T6" s="11" t="n">
        <f aca="false">Экономика!Q6</f>
        <v>9791.34023259948</v>
      </c>
      <c r="U6" s="11" t="n">
        <f aca="false">Смена!W6*EF_D</f>
        <v>21.3887436624543</v>
      </c>
      <c r="V6" s="11" t="n">
        <f aca="false">Смена!W6*EF_D</f>
        <v>21.3887436624543</v>
      </c>
      <c r="W6" s="11" t="n">
        <f aca="false">MIN(1,Смена!X6/C6)</f>
        <v>0.815219147206105</v>
      </c>
      <c r="X6" s="11" t="n">
        <f aca="false">IF(MAX(ABS(D6),ABS(N6))=0,0,-1*(D6-N6)/MAX(ABS(D6),ABS(N6)))</f>
        <v>0.6338054537909</v>
      </c>
      <c r="Y6" s="11" t="n">
        <f aca="false">IF(MAX(ABS(E6),ABS(O6))=0,0,-1*(E6-O6)/MAX(ABS(E6),ABS(O6)))</f>
        <v>0.203924899545435</v>
      </c>
      <c r="Z6" s="11" t="n">
        <f aca="false">IF(MAX(ABS(F6),ABS(P6))=0,0,1*(F6-P6)/MAX(ABS(F6),ABS(P6)))</f>
        <v>-0.734502617917602</v>
      </c>
      <c r="AA6" s="11" t="n">
        <f aca="false">IF(MAX(ABS(G6),ABS(Q6))=0,0,-1*(G6-Q6)/MAX(ABS(G6),ABS(Q6)))</f>
        <v>0.127455472737325</v>
      </c>
      <c r="AB6" s="11" t="n">
        <f aca="false">IF(MAX(ABS(H6),ABS(R6))=0,0,1*(H6-R6)/MAX(ABS(H6),ABS(R6)))</f>
        <v>-0.193890064724179</v>
      </c>
      <c r="AC6" s="11" t="n">
        <f aca="false">IF(MAX(ABS(I6),ABS(S6))=0,0,-1*(I6-S6)/MAX(ABS(I6),ABS(S6)))</f>
        <v>0.108282457789113</v>
      </c>
      <c r="AD6" s="11" t="n">
        <f aca="false">IF(MAX(ABS(J6),ABS(T6))=0,0,-1*(J6-T6)/MAX(ABS(J6),ABS(T6)))</f>
        <v>-0.114010478636093</v>
      </c>
      <c r="AE6" s="11" t="n">
        <f aca="false">IF(MAX(ABS(K6),ABS(U6))=0,0,-1*(K6-U6)/MAX(ABS(K6),ABS(U6)))</f>
        <v>0.174263180908224</v>
      </c>
      <c r="AF6" s="11" t="n">
        <f aca="false">IF(MAX(ABS(L6),ABS(V6))=0,0,-1*(L6-V6)/MAX(ABS(L6),ABS(V6)))</f>
        <v>1</v>
      </c>
      <c r="AG6" s="11" t="n">
        <f aca="false">IF(MAX(ABS(M6),ABS(W6))=0,0,1*(M6-W6)/MAX(ABS(M6),ABS(W6)))</f>
        <v>-0.759756285268489</v>
      </c>
      <c r="AH6" s="24" t="n">
        <f aca="false">Веса!$E$39*X6+Веса!$E$40*Y6+Веса!$E$41*Z6+Веса!$E$42*AA6+Веса!$E$43*AB6+Веса!$E$44*AC6+Веса!$E$45*AD6+Веса!$E$46*AE6+Веса!$E$47*AF6+Веса!$E$48*AG6</f>
        <v>-0.0406429035009115</v>
      </c>
    </row>
    <row r="7" customFormat="false" ht="15" hidden="false" customHeight="false" outlineLevel="0" collapsed="false">
      <c r="A7" s="17" t="str">
        <f aca="false">Смена!A7</f>
        <v>культиватор 0.11×5.4</v>
      </c>
      <c r="B7" s="19" t="b">
        <f aca="false">AND(Энергетика!Q7,Энергетика!R7)</f>
        <v>1</v>
      </c>
      <c r="C7" s="12" t="n">
        <f aca="false">IF(S_task&gt;0,S_task,Смена!V7)</f>
        <v>4.0022570963605</v>
      </c>
      <c r="D7" s="11" t="n">
        <f aca="false">3.6*Смена!Q7</f>
        <v>106.555988825498</v>
      </c>
      <c r="E7" s="11" t="n">
        <f aca="false">3.6*Смена!Q7*PEF_el</f>
        <v>266.389972063744</v>
      </c>
      <c r="F7" s="11" t="n">
        <f aca="false">MIN(1,Смена!P7/C7)</f>
        <v>0.266322827242848</v>
      </c>
      <c r="G7" s="11" t="n">
        <f aca="false">100*Энергетика!I7</f>
        <v>15.175873733698</v>
      </c>
      <c r="H7" s="11" t="n">
        <f aca="false">100*Энергетика!O7</f>
        <v>6.98758736775941</v>
      </c>
      <c r="I7" s="11" t="n">
        <f aca="false">Экономика!N7</f>
        <v>6650.83022522391</v>
      </c>
      <c r="J7" s="11" t="n">
        <f aca="false">Экономика!P7</f>
        <v>9730.94229706244</v>
      </c>
      <c r="K7" s="11" t="n">
        <f aca="false">Смена!Q7*EF_grid</f>
        <v>17.9369247856255</v>
      </c>
      <c r="L7" s="11" t="n">
        <f aca="false">0</f>
        <v>0</v>
      </c>
      <c r="M7" s="11" t="n">
        <f aca="false">MIN(1,Смена!H7/C7)</f>
        <v>0.163032191891828</v>
      </c>
      <c r="N7" s="11" t="n">
        <f aca="false">Смена!W7*LHV_D</f>
        <v>273.506100480147</v>
      </c>
      <c r="O7" s="11" t="n">
        <f aca="false">Смена!W7*LHV_D*PEF_D</f>
        <v>314.532015552169</v>
      </c>
      <c r="P7" s="11" t="n">
        <f aca="false">MIN(1,Смена!V7/C7)</f>
        <v>1</v>
      </c>
      <c r="Q7" s="11" t="n">
        <f aca="false">100*Энергетика!K7</f>
        <v>17.5194232235354</v>
      </c>
      <c r="R7" s="11" t="n">
        <f aca="false">100*Энергетика!P7</f>
        <v>14.0088390848902</v>
      </c>
      <c r="S7" s="11" t="n">
        <f aca="false">Экономика!O7</f>
        <v>7496.12137736295</v>
      </c>
      <c r="T7" s="11" t="n">
        <f aca="false">Экономика!Q7</f>
        <v>8632.34097412396</v>
      </c>
      <c r="U7" s="11" t="n">
        <f aca="false">Смена!W7*EF_D</f>
        <v>20.4177256068745</v>
      </c>
      <c r="V7" s="11" t="n">
        <f aca="false">Смена!W7*EF_D</f>
        <v>20.4177256068745</v>
      </c>
      <c r="W7" s="11" t="n">
        <f aca="false">MIN(1,Смена!X7/C7)</f>
        <v>0.729788285274904</v>
      </c>
      <c r="X7" s="11" t="n">
        <f aca="false">IF(MAX(ABS(D7),ABS(N7))=0,0,-1*(D7-N7)/MAX(ABS(D7),ABS(N7)))</f>
        <v>0.610407268289681</v>
      </c>
      <c r="Y7" s="11" t="n">
        <f aca="false">IF(MAX(ABS(E7),ABS(O7))=0,0,-1*(E7-O7)/MAX(ABS(E7),ABS(O7)))</f>
        <v>0.15305927889061</v>
      </c>
      <c r="Z7" s="11" t="n">
        <f aca="false">IF(MAX(ABS(F7),ABS(P7))=0,0,1*(F7-P7)/MAX(ABS(F7),ABS(P7)))</f>
        <v>-0.733677172757152</v>
      </c>
      <c r="AA7" s="11" t="n">
        <f aca="false">IF(MAX(ABS(G7),ABS(Q7))=0,0,-1*(G7-Q7)/MAX(ABS(G7),ABS(Q7)))</f>
        <v>0.133768644089214</v>
      </c>
      <c r="AB7" s="11" t="n">
        <f aca="false">IF(MAX(ABS(H7),ABS(R7))=0,0,1*(H7-R7)/MAX(ABS(H7),ABS(R7)))</f>
        <v>-0.501201539583951</v>
      </c>
      <c r="AC7" s="11" t="n">
        <f aca="false">IF(MAX(ABS(I7),ABS(S7))=0,0,-1*(I7-S7)/MAX(ABS(I7),ABS(S7)))</f>
        <v>0.112763802716919</v>
      </c>
      <c r="AD7" s="11" t="n">
        <f aca="false">IF(MAX(ABS(J7),ABS(T7))=0,0,-1*(J7-T7)/MAX(ABS(J7),ABS(T7)))</f>
        <v>-0.112897732758124</v>
      </c>
      <c r="AE7" s="11" t="n">
        <f aca="false">IF(MAX(ABS(K7),ABS(U7))=0,0,-1*(K7-U7)/MAX(ABS(K7),ABS(U7)))</f>
        <v>0.121502309758428</v>
      </c>
      <c r="AF7" s="11" t="n">
        <f aca="false">IF(MAX(ABS(L7),ABS(V7))=0,0,-1*(L7-V7)/MAX(ABS(L7),ABS(V7)))</f>
        <v>1</v>
      </c>
      <c r="AG7" s="11" t="n">
        <f aca="false">IF(MAX(ABS(M7),ABS(W7))=0,0,1*(M7-W7)/MAX(ABS(M7),ABS(W7)))</f>
        <v>-0.776603440776779</v>
      </c>
      <c r="AH7" s="24" t="n">
        <f aca="false">Веса!$E$39*X7+Веса!$E$40*Y7+Веса!$E$41*Z7+Веса!$E$42*AA7+Веса!$E$43*AB7+Веса!$E$44*AC7+Веса!$E$45*AD7+Веса!$E$46*AE7+Веса!$E$47*AF7+Веса!$E$48*AG7</f>
        <v>-0.0693263911144785</v>
      </c>
    </row>
    <row r="8" customFormat="false" ht="15" hidden="false" customHeight="false" outlineLevel="0" collapsed="false">
      <c r="A8" s="17" t="str">
        <f aca="false">Смена!A8</f>
        <v>культиватор 0.14×3.6</v>
      </c>
      <c r="B8" s="19" t="b">
        <f aca="false">AND(Энергетика!Q8,Энергетика!R8)</f>
        <v>0</v>
      </c>
      <c r="C8" s="12" t="n">
        <f aca="false">IF(S_task&gt;0,S_task,Смена!V8)</f>
        <v>2.80488044674215</v>
      </c>
      <c r="D8" s="11" t="n">
        <f aca="false">3.6*Смена!Q8</f>
        <v>128.062442124024</v>
      </c>
      <c r="E8" s="11" t="n">
        <f aca="false">3.6*Смена!Q8*PEF_el</f>
        <v>320.156105310059</v>
      </c>
      <c r="F8" s="11" t="n">
        <f aca="false">MIN(1,Смена!P8/C8)</f>
        <v>0.265618445121468</v>
      </c>
      <c r="G8" s="11" t="n">
        <f aca="false">100*Энергетика!I8</f>
        <v>18.5615309547303</v>
      </c>
      <c r="H8" s="11" t="n">
        <f aca="false">100*Энергетика!O8</f>
        <v>26.0048973240228</v>
      </c>
      <c r="I8" s="11" t="n">
        <f aca="false">Экономика!N8</f>
        <v>9206.36988979943</v>
      </c>
      <c r="J8" s="11" t="n">
        <f aca="false">Экономика!P8</f>
        <v>13487.5483250576</v>
      </c>
      <c r="K8" s="11" t="n">
        <f aca="false">Смена!Q8*EF_grid</f>
        <v>21.557177757544</v>
      </c>
      <c r="L8" s="11" t="n">
        <f aca="false">0</f>
        <v>0</v>
      </c>
      <c r="M8" s="11" t="n">
        <f aca="false">MIN(1,Смена!H8/C8)</f>
        <v>0.195915464689384</v>
      </c>
      <c r="N8" s="11" t="n">
        <f aca="false">Смена!W8*LHV_D</f>
        <v>355.791393271325</v>
      </c>
      <c r="O8" s="11" t="n">
        <f aca="false">Смена!W8*LHV_D*PEF_D</f>
        <v>409.160102262024</v>
      </c>
      <c r="P8" s="11" t="n">
        <f aca="false">MIN(1,Смена!V8/C8)</f>
        <v>1</v>
      </c>
      <c r="Q8" s="11" t="n">
        <f aca="false">100*Энергетика!K8</f>
        <v>22.6731959263838</v>
      </c>
      <c r="R8" s="11" t="n">
        <f aca="false">100*Энергетика!P8</f>
        <v>29.6857949402421</v>
      </c>
      <c r="S8" s="11" t="n">
        <f aca="false">Экономика!O8</f>
        <v>10382.9768384266</v>
      </c>
      <c r="T8" s="11" t="n">
        <f aca="false">Экономика!Q8</f>
        <v>12008.537071363</v>
      </c>
      <c r="U8" s="11" t="n">
        <f aca="false">Смена!W8*EF_D</f>
        <v>26.5604716982493</v>
      </c>
      <c r="V8" s="11" t="n">
        <f aca="false">Смена!W8*EF_D</f>
        <v>26.5604716982493</v>
      </c>
      <c r="W8" s="11" t="n">
        <f aca="false">MIN(1,Смена!X8/C8)</f>
        <v>0.801386227467906</v>
      </c>
      <c r="X8" s="11" t="n">
        <f aca="false">IF(MAX(ABS(D8),ABS(N8))=0,0,-1*(D8-N8)/MAX(ABS(D8),ABS(N8)))</f>
        <v>0.640063125342766</v>
      </c>
      <c r="Y8" s="11" t="n">
        <f aca="false">IF(MAX(ABS(E8),ABS(O8))=0,0,-1*(E8-O8)/MAX(ABS(E8),ABS(O8)))</f>
        <v>0.21752853335384</v>
      </c>
      <c r="Z8" s="11" t="n">
        <f aca="false">IF(MAX(ABS(F8),ABS(P8))=0,0,1*(F8-P8)/MAX(ABS(F8),ABS(P8)))</f>
        <v>-0.734381554878532</v>
      </c>
      <c r="AA8" s="11" t="n">
        <f aca="false">IF(MAX(ABS(G8),ABS(Q8))=0,0,-1*(G8-Q8)/MAX(ABS(G8),ABS(Q8)))</f>
        <v>0.181344746678125</v>
      </c>
      <c r="AB8" s="11" t="n">
        <f aca="false">IF(MAX(ABS(H8),ABS(R8))=0,0,1*(H8-R8)/MAX(ABS(H8),ABS(R8)))</f>
        <v>-0.123995251723223</v>
      </c>
      <c r="AC8" s="11" t="n">
        <f aca="false">IF(MAX(ABS(I8),ABS(S8))=0,0,-1*(I8-S8)/MAX(ABS(I8),ABS(S8)))</f>
        <v>0.113320771772568</v>
      </c>
      <c r="AD8" s="11" t="n">
        <f aca="false">IF(MAX(ABS(J8),ABS(T8))=0,0,-1*(J8-T8)/MAX(ABS(J8),ABS(T8)))</f>
        <v>-0.109657531380023</v>
      </c>
      <c r="AE8" s="11" t="n">
        <f aca="false">IF(MAX(ABS(K8),ABS(U8))=0,0,-1*(K8-U8)/MAX(ABS(K8),ABS(U8)))</f>
        <v>0.188373685435533</v>
      </c>
      <c r="AF8" s="11" t="n">
        <f aca="false">IF(MAX(ABS(L8),ABS(V8))=0,0,-1*(L8-V8)/MAX(ABS(L8),ABS(V8)))</f>
        <v>1</v>
      </c>
      <c r="AG8" s="11" t="n">
        <f aca="false">IF(MAX(ABS(M8),ABS(W8))=0,0,1*(M8-W8)/MAX(ABS(M8),ABS(W8)))</f>
        <v>-0.755529284165007</v>
      </c>
      <c r="AH8" s="24" t="n">
        <f aca="false">Веса!$E$39*X8+Веса!$E$40*Y8+Веса!$E$41*Z8+Веса!$E$42*AA8+Веса!$E$43*AB8+Веса!$E$44*AC8+Веса!$E$45*AD8+Веса!$E$46*AE8+Веса!$E$47*AF8+Веса!$E$48*AG8</f>
        <v>-0.0261578934597598</v>
      </c>
    </row>
    <row r="9" customFormat="false" ht="15" hidden="false" customHeight="false" outlineLevel="0" collapsed="false">
      <c r="A9" s="17" t="str">
        <f aca="false">Смена!A9</f>
        <v>культиватор 0.14×4.5</v>
      </c>
      <c r="B9" s="19" t="b">
        <f aca="false">AND(Энергетика!Q9,Энергетика!R9)</f>
        <v>0</v>
      </c>
      <c r="C9" s="12" t="n">
        <f aca="false">IF(S_task&gt;0,S_task,Смена!V9)</f>
        <v>3.40930498019823</v>
      </c>
      <c r="D9" s="11" t="n">
        <f aca="false">3.6*Смена!Q9</f>
        <v>129.782725223841</v>
      </c>
      <c r="E9" s="11" t="n">
        <f aca="false">3.6*Смена!Q9*PEF_el</f>
        <v>324.456813059601</v>
      </c>
      <c r="F9" s="11" t="n">
        <f aca="false">MIN(1,Смена!P9/C9)</f>
        <v>0.266698128687637</v>
      </c>
      <c r="G9" s="11" t="n">
        <f aca="false">100*Энергетика!I9</f>
        <v>19.3140964952159</v>
      </c>
      <c r="H9" s="11" t="n">
        <f aca="false">100*Энергетика!O9</f>
        <v>4.83034495635215</v>
      </c>
      <c r="I9" s="11" t="n">
        <f aca="false">Экономика!N9</f>
        <v>7858.2447660676</v>
      </c>
      <c r="J9" s="11" t="n">
        <f aca="false">Экономика!P9</f>
        <v>11501.5524561378</v>
      </c>
      <c r="K9" s="11" t="n">
        <f aca="false">Смена!Q9*EF_grid</f>
        <v>21.8467587460132</v>
      </c>
      <c r="L9" s="11" t="n">
        <f aca="false">0</f>
        <v>0</v>
      </c>
      <c r="M9" s="11" t="n">
        <f aca="false">MIN(1,Смена!H9/C9)</f>
        <v>0.156764054292904</v>
      </c>
      <c r="N9" s="11" t="n">
        <f aca="false">Смена!W9*LHV_D</f>
        <v>336.061552415583</v>
      </c>
      <c r="O9" s="11" t="n">
        <f aca="false">Смена!W9*LHV_D*PEF_D</f>
        <v>386.470785277921</v>
      </c>
      <c r="P9" s="11" t="n">
        <f aca="false">MIN(1,Смена!V9/C9)</f>
        <v>1</v>
      </c>
      <c r="Q9" s="11" t="n">
        <f aca="false">100*Энергетика!K9</f>
        <v>23.9511067387461</v>
      </c>
      <c r="R9" s="11" t="n">
        <f aca="false">100*Энергетика!P9</f>
        <v>8.82006115965525</v>
      </c>
      <c r="S9" s="11" t="n">
        <f aca="false">Экономика!O9</f>
        <v>8935.97753766323</v>
      </c>
      <c r="T9" s="11" t="n">
        <f aca="false">Экономика!Q9</f>
        <v>10267.9333888944</v>
      </c>
      <c r="U9" s="11" t="n">
        <f aca="false">Смена!W9*EF_D</f>
        <v>25.0876033558151</v>
      </c>
      <c r="V9" s="11" t="n">
        <f aca="false">Смена!W9*EF_D</f>
        <v>25.0876033558151</v>
      </c>
      <c r="W9" s="11" t="n">
        <f aca="false">MIN(1,Смена!X9/C9)</f>
        <v>0.696886696188284</v>
      </c>
      <c r="X9" s="11" t="n">
        <f aca="false">IF(MAX(ABS(D9),ABS(N9))=0,0,-1*(D9-N9)/MAX(ABS(D9),ABS(N9)))</f>
        <v>0.613812635539612</v>
      </c>
      <c r="Y9" s="11" t="n">
        <f aca="false">IF(MAX(ABS(E9),ABS(O9))=0,0,-1*(E9-O9)/MAX(ABS(E9),ABS(O9)))</f>
        <v>0.16046225117307</v>
      </c>
      <c r="Z9" s="11" t="n">
        <f aca="false">IF(MAX(ABS(F9),ABS(P9))=0,0,1*(F9-P9)/MAX(ABS(F9),ABS(P9)))</f>
        <v>-0.733301871312363</v>
      </c>
      <c r="AA9" s="11" t="n">
        <f aca="false">IF(MAX(ABS(G9),ABS(Q9))=0,0,-1*(G9-Q9)/MAX(ABS(G9),ABS(Q9)))</f>
        <v>0.193603172250445</v>
      </c>
      <c r="AB9" s="11" t="n">
        <f aca="false">IF(MAX(ABS(H9),ABS(R9))=0,0,1*(H9-R9)/MAX(ABS(H9),ABS(R9)))</f>
        <v>-0.452345639228996</v>
      </c>
      <c r="AC9" s="11" t="n">
        <f aca="false">IF(MAX(ABS(I9),ABS(S9))=0,0,-1*(I9-S9)/MAX(ABS(I9),ABS(S9)))</f>
        <v>0.120606029620511</v>
      </c>
      <c r="AD9" s="11" t="n">
        <f aca="false">IF(MAX(ABS(J9),ABS(T9))=0,0,-1*(J9-T9)/MAX(ABS(J9),ABS(T9)))</f>
        <v>-0.107256743987209</v>
      </c>
      <c r="AE9" s="11" t="n">
        <f aca="false">IF(MAX(ABS(K9),ABS(U9))=0,0,-1*(K9-U9)/MAX(ABS(K9),ABS(U9)))</f>
        <v>0.129181116419826</v>
      </c>
      <c r="AF9" s="11" t="n">
        <f aca="false">IF(MAX(ABS(L9),ABS(V9))=0,0,-1*(L9-V9)/MAX(ABS(L9),ABS(V9)))</f>
        <v>1</v>
      </c>
      <c r="AG9" s="11" t="n">
        <f aca="false">IF(MAX(ABS(M9),ABS(W9))=0,0,1*(M9-W9)/MAX(ABS(M9),ABS(W9)))</f>
        <v>-0.775050872472748</v>
      </c>
      <c r="AH9" s="24" t="n">
        <f aca="false">Веса!$E$39*X9+Веса!$E$40*Y9+Веса!$E$41*Z9+Веса!$E$42*AA9+Веса!$E$43*AB9+Веса!$E$44*AC9+Веса!$E$45*AD9+Веса!$E$46*AE9+Веса!$E$47*AF9+Веса!$E$48*AG9</f>
        <v>-0.0564521421336839</v>
      </c>
    </row>
    <row r="10" customFormat="false" ht="15" hidden="false" customHeight="false" outlineLevel="0" collapsed="false">
      <c r="A10" s="17" t="str">
        <f aca="false">Смена!A10</f>
        <v>фреза 0.08×1.8</v>
      </c>
      <c r="B10" s="19" t="b">
        <f aca="false">AND(Энергетика!Q10,Энергетика!R10)</f>
        <v>1</v>
      </c>
      <c r="C10" s="12" t="n">
        <f aca="false">IF(S_task&gt;0,S_task,Смена!V10)</f>
        <v>1.54393672269514</v>
      </c>
      <c r="D10" s="11" t="n">
        <f aca="false">3.6*Смена!Q10</f>
        <v>146.45224857574</v>
      </c>
      <c r="E10" s="11" t="n">
        <f aca="false">3.6*Смена!Q10*PEF_el</f>
        <v>366.130621439351</v>
      </c>
      <c r="F10" s="11" t="n">
        <f aca="false">MIN(1,Смена!P10/C10)</f>
        <v>0.28924197918314</v>
      </c>
      <c r="G10" s="11" t="n">
        <f aca="false">100*Энергетика!I10</f>
        <v>5.26544508970218</v>
      </c>
      <c r="H10" s="11" t="n">
        <f aca="false">100*Энергетика!O10</f>
        <v>54.8090187929451</v>
      </c>
      <c r="I10" s="11" t="n">
        <f aca="false">Экономика!N10</f>
        <v>14835.6085433826</v>
      </c>
      <c r="J10" s="11" t="n">
        <f aca="false">Экономика!P10</f>
        <v>22657.1643418365</v>
      </c>
      <c r="K10" s="11" t="n">
        <f aca="false">Смена!Q10*EF_grid</f>
        <v>24.6527951769163</v>
      </c>
      <c r="L10" s="11" t="n">
        <f aca="false">0</f>
        <v>0</v>
      </c>
      <c r="M10" s="11" t="n">
        <f aca="false">MIN(1,Смена!H10/C10)</f>
        <v>0.304956148209979</v>
      </c>
      <c r="N10" s="11" t="n">
        <f aca="false">Смена!W10*LHV_D</f>
        <v>505.463838584992</v>
      </c>
      <c r="O10" s="11" t="n">
        <f aca="false">Смена!W10*LHV_D*PEF_D</f>
        <v>581.283414372741</v>
      </c>
      <c r="P10" s="11" t="n">
        <f aca="false">MIN(1,Смена!V10/C10)</f>
        <v>1</v>
      </c>
      <c r="Q10" s="11" t="n">
        <f aca="false">100*Энергетика!K10</f>
        <v>5.26544508970218</v>
      </c>
      <c r="R10" s="11" t="n">
        <f aca="false">100*Энергетика!P10</f>
        <v>58.7454087048747</v>
      </c>
      <c r="S10" s="11" t="n">
        <f aca="false">Экономика!O10</f>
        <v>17578.9480558236</v>
      </c>
      <c r="T10" s="11" t="n">
        <f aca="false">Экономика!Q10</f>
        <v>20548.7869116275</v>
      </c>
      <c r="U10" s="11" t="n">
        <f aca="false">Смена!W10*EF_D</f>
        <v>37.7337907355927</v>
      </c>
      <c r="V10" s="11" t="n">
        <f aca="false">Смена!W10*EF_D</f>
        <v>37.7337907355927</v>
      </c>
      <c r="W10" s="11" t="n">
        <f aca="false">MIN(1,Смена!X10/C10)</f>
        <v>1</v>
      </c>
      <c r="X10" s="11" t="n">
        <f aca="false">IF(MAX(ABS(D10),ABS(N10))=0,0,-1*(D10-N10)/MAX(ABS(D10),ABS(N10)))</f>
        <v>0.710261669784881</v>
      </c>
      <c r="Y10" s="11" t="n">
        <f aca="false">IF(MAX(ABS(E10),ABS(O10))=0,0,-1*(E10-O10)/MAX(ABS(E10),ABS(O10)))</f>
        <v>0.37013406474974</v>
      </c>
      <c r="Z10" s="11" t="n">
        <f aca="false">IF(MAX(ABS(F10),ABS(P10))=0,0,1*(F10-P10)/MAX(ABS(F10),ABS(P10)))</f>
        <v>-0.710758020816861</v>
      </c>
      <c r="AA10" s="11" t="n">
        <f aca="false">IF(MAX(ABS(G10),ABS(Q10))=0,0,-1*(G10-Q10)/MAX(ABS(G10),ABS(Q10)))</f>
        <v>-0</v>
      </c>
      <c r="AB10" s="11" t="n">
        <f aca="false">IF(MAX(ABS(H10),ABS(R10))=0,0,1*(H10-R10)/MAX(ABS(H10),ABS(R10)))</f>
        <v>-0.0670076181051902</v>
      </c>
      <c r="AC10" s="11" t="n">
        <f aca="false">IF(MAX(ABS(I10),ABS(S10))=0,0,-1*(I10-S10)/MAX(ABS(I10),ABS(S10)))</f>
        <v>0.156058229635204</v>
      </c>
      <c r="AD10" s="11" t="n">
        <f aca="false">IF(MAX(ABS(J10),ABS(T10))=0,0,-1*(J10-T10)/MAX(ABS(J10),ABS(T10)))</f>
        <v>-0.0930556621472634</v>
      </c>
      <c r="AE10" s="11" t="n">
        <f aca="false">IF(MAX(ABS(K10),ABS(U10))=0,0,-1*(K10-U10)/MAX(ABS(K10),ABS(U10)))</f>
        <v>0.34666529133893</v>
      </c>
      <c r="AF10" s="11" t="n">
        <f aca="false">IF(MAX(ABS(L10),ABS(V10))=0,0,-1*(L10-V10)/MAX(ABS(L10),ABS(V10)))</f>
        <v>1</v>
      </c>
      <c r="AG10" s="11" t="n">
        <f aca="false">IF(MAX(ABS(M10),ABS(W10))=0,0,1*(M10-W10)/MAX(ABS(M10),ABS(W10)))</f>
        <v>-0.695043851790021</v>
      </c>
      <c r="AH10" s="24" t="n">
        <f aca="false">Веса!$E$39*X10+Веса!$E$40*Y10+Веса!$E$41*Z10+Веса!$E$42*AA10+Веса!$E$43*AB10+Веса!$E$44*AC10+Веса!$E$45*AD10+Веса!$E$46*AE10+Веса!$E$47*AF10+Веса!$E$48*AG10</f>
        <v>0.00207072784829671</v>
      </c>
    </row>
    <row r="11" customFormat="false" ht="15" hidden="false" customHeight="false" outlineLevel="0" collapsed="false">
      <c r="A11" s="17" t="str">
        <f aca="false">Смена!A11</f>
        <v>фреза 0.08×2.7</v>
      </c>
      <c r="B11" s="19" t="b">
        <f aca="false">AND(Энергетика!Q11,Энергетика!R11)</f>
        <v>1</v>
      </c>
      <c r="C11" s="12" t="n">
        <f aca="false">IF(S_task&gt;0,S_task,Смена!V11)</f>
        <v>2.25269823257151</v>
      </c>
      <c r="D11" s="11" t="n">
        <f aca="false">3.6*Смена!Q11</f>
        <v>134.68801600435</v>
      </c>
      <c r="E11" s="11" t="n">
        <f aca="false">3.6*Смена!Q11*PEF_el</f>
        <v>336.720040010874</v>
      </c>
      <c r="F11" s="11" t="n">
        <f aca="false">MIN(1,Смена!P11/C11)</f>
        <v>0.264795978012297</v>
      </c>
      <c r="G11" s="11" t="n">
        <f aca="false">100*Энергетика!I11</f>
        <v>5.26544508970218</v>
      </c>
      <c r="H11" s="11" t="n">
        <f aca="false">100*Энергетика!O11</f>
        <v>39.9499024849471</v>
      </c>
      <c r="I11" s="11" t="n">
        <f aca="false">Экономика!N11</f>
        <v>11178.7483235935</v>
      </c>
      <c r="J11" s="11" t="n">
        <f aca="false">Экономика!P11</f>
        <v>16525.8877883101</v>
      </c>
      <c r="K11" s="11" t="n">
        <f aca="false">Смена!Q11*EF_grid</f>
        <v>22.6724826940655</v>
      </c>
      <c r="L11" s="11" t="n">
        <f aca="false">0</f>
        <v>0</v>
      </c>
      <c r="M11" s="11" t="n">
        <f aca="false">MIN(1,Смена!H11/C11)</f>
        <v>0.235292917855162</v>
      </c>
      <c r="N11" s="11" t="n">
        <f aca="false">Смена!W11*LHV_D</f>
        <v>392.298523954048</v>
      </c>
      <c r="O11" s="11" t="n">
        <f aca="false">Смена!W11*LHV_D*PEF_D</f>
        <v>451.143302547155</v>
      </c>
      <c r="P11" s="11" t="n">
        <f aca="false">MIN(1,Смена!V11/C11)</f>
        <v>1</v>
      </c>
      <c r="Q11" s="11" t="n">
        <f aca="false">100*Энергетика!K11</f>
        <v>5.26544508970218</v>
      </c>
      <c r="R11" s="11" t="n">
        <f aca="false">100*Энергетика!P11</f>
        <v>45.2855607041208</v>
      </c>
      <c r="S11" s="11" t="n">
        <f aca="false">Экономика!O11</f>
        <v>12467.2621290832</v>
      </c>
      <c r="T11" s="11" t="n">
        <f aca="false">Экономика!Q11</f>
        <v>14497.5669634304</v>
      </c>
      <c r="U11" s="11" t="n">
        <f aca="false">Смена!W11*EF_D</f>
        <v>29.2857951029763</v>
      </c>
      <c r="V11" s="11" t="n">
        <f aca="false">Смена!W11*EF_D</f>
        <v>29.2857951029763</v>
      </c>
      <c r="W11" s="11" t="n">
        <f aca="false">MIN(1,Смена!X11/C11)</f>
        <v>0.906440659685928</v>
      </c>
      <c r="X11" s="11" t="n">
        <f aca="false">IF(MAX(ABS(D11),ABS(N11))=0,0,-1*(D11-N11)/MAX(ABS(D11),ABS(N11)))</f>
        <v>0.656669582524031</v>
      </c>
      <c r="Y11" s="11" t="n">
        <f aca="false">IF(MAX(ABS(E11),ABS(O11))=0,0,-1*(E11-O11)/MAX(ABS(E11),ABS(O11)))</f>
        <v>0.253629527226155</v>
      </c>
      <c r="Z11" s="11" t="n">
        <f aca="false">IF(MAX(ABS(F11),ABS(P11))=0,0,1*(F11-P11)/MAX(ABS(F11),ABS(P11)))</f>
        <v>-0.735204021987703</v>
      </c>
      <c r="AA11" s="11" t="n">
        <f aca="false">IF(MAX(ABS(G11),ABS(Q11))=0,0,-1*(G11-Q11)/MAX(ABS(G11),ABS(Q11)))</f>
        <v>-0</v>
      </c>
      <c r="AB11" s="11" t="n">
        <f aca="false">IF(MAX(ABS(H11),ABS(R11))=0,0,1*(H11-R11)/MAX(ABS(H11),ABS(R11)))</f>
        <v>-0.117822505368431</v>
      </c>
      <c r="AC11" s="11" t="n">
        <f aca="false">IF(MAX(ABS(I11),ABS(S11))=0,0,-1*(I11-S11)/MAX(ABS(I11),ABS(S11)))</f>
        <v>0.103351785833062</v>
      </c>
      <c r="AD11" s="11" t="n">
        <f aca="false">IF(MAX(ABS(J11),ABS(T11))=0,0,-1*(J11-T11)/MAX(ABS(J11),ABS(T11)))</f>
        <v>-0.122735967402272</v>
      </c>
      <c r="AE11" s="11" t="n">
        <f aca="false">IF(MAX(ABS(K11),ABS(U11))=0,0,-1*(K11-U11)/MAX(ABS(K11),ABS(U11)))</f>
        <v>0.225819800543461</v>
      </c>
      <c r="AF11" s="11" t="n">
        <f aca="false">IF(MAX(ABS(L11),ABS(V11))=0,0,-1*(L11-V11)/MAX(ABS(L11),ABS(V11)))</f>
        <v>1</v>
      </c>
      <c r="AG11" s="11" t="n">
        <f aca="false">IF(MAX(ABS(M11),ABS(W11))=0,0,1*(M11-W11)/MAX(ABS(M11),ABS(W11)))</f>
        <v>-0.740421046495543</v>
      </c>
      <c r="AH11" s="24" t="n">
        <f aca="false">Веса!$E$39*X11+Веса!$E$40*Y11+Веса!$E$41*Z11+Веса!$E$42*AA11+Веса!$E$43*AB11+Веса!$E$44*AC11+Веса!$E$45*AD11+Веса!$E$46*AE11+Веса!$E$47*AF11+Веса!$E$48*AG11</f>
        <v>-0.0407339658000411</v>
      </c>
    </row>
    <row r="12" customFormat="false" ht="15" hidden="false" customHeight="false" outlineLevel="0" collapsed="false">
      <c r="A12" s="17" t="str">
        <f aca="false">Смена!A12</f>
        <v>фреза 0.08×3.6</v>
      </c>
      <c r="B12" s="19" t="b">
        <f aca="false">AND(Энергетика!Q12,Энергетика!R12)</f>
        <v>1</v>
      </c>
      <c r="C12" s="12" t="n">
        <f aca="false">IF(S_task&gt;0,S_task,Смена!V12)</f>
        <v>2.92468820149144</v>
      </c>
      <c r="D12" s="11" t="n">
        <f aca="false">3.6*Смена!Q12</f>
        <v>120.099442746048</v>
      </c>
      <c r="E12" s="11" t="n">
        <f aca="false">3.6*Смена!Q12*PEF_el</f>
        <v>300.24860686512</v>
      </c>
      <c r="F12" s="11" t="n">
        <f aca="false">MIN(1,Смена!P12/C12)</f>
        <v>0.265351641670773</v>
      </c>
      <c r="G12" s="11" t="n">
        <f aca="false">100*Энергетика!I12</f>
        <v>5.26544508970218</v>
      </c>
      <c r="H12" s="11" t="n">
        <f aca="false">100*Энергетика!O12</f>
        <v>27.8931546345401</v>
      </c>
      <c r="I12" s="11" t="n">
        <f aca="false">Экономика!N12</f>
        <v>8802.14329637842</v>
      </c>
      <c r="J12" s="11" t="n">
        <f aca="false">Экономика!P12</f>
        <v>12912.0745942262</v>
      </c>
      <c r="K12" s="11" t="n">
        <f aca="false">Смена!Q12*EF_grid</f>
        <v>20.2167395289181</v>
      </c>
      <c r="L12" s="11" t="n">
        <f aca="false">0</f>
        <v>0</v>
      </c>
      <c r="M12" s="11" t="n">
        <f aca="false">MIN(1,Смена!H12/C12)</f>
        <v>0.2007085058207</v>
      </c>
      <c r="N12" s="11" t="n">
        <f aca="false">Смена!W12*LHV_D</f>
        <v>328.601331055778</v>
      </c>
      <c r="O12" s="11" t="n">
        <f aca="false">Смена!W12*LHV_D*PEF_D</f>
        <v>377.891530714145</v>
      </c>
      <c r="P12" s="11" t="n">
        <f aca="false">MIN(1,Смена!V12/C12)</f>
        <v>1</v>
      </c>
      <c r="Q12" s="11" t="n">
        <f aca="false">100*Энергетика!K12</f>
        <v>5.26544508970218</v>
      </c>
      <c r="R12" s="11" t="n">
        <f aca="false">100*Энергетика!P12</f>
        <v>34.4317799888079</v>
      </c>
      <c r="S12" s="11" t="n">
        <f aca="false">Экономика!O12</f>
        <v>9843.01413968407</v>
      </c>
      <c r="T12" s="11" t="n">
        <f aca="false">Экономика!Q12</f>
        <v>11403.551963303</v>
      </c>
      <c r="U12" s="11" t="n">
        <f aca="false">Смена!W12*EF_D</f>
        <v>24.5306843239411</v>
      </c>
      <c r="V12" s="11" t="n">
        <f aca="false">Смена!W12*EF_D</f>
        <v>24.5306843239411</v>
      </c>
      <c r="W12" s="11" t="n">
        <f aca="false">MIN(1,Смена!X12/C12)</f>
        <v>0.832554696142582</v>
      </c>
      <c r="X12" s="11" t="n">
        <f aca="false">IF(MAX(ABS(D12),ABS(N12))=0,0,-1*(D12-N12)/MAX(ABS(D12),ABS(N12)))</f>
        <v>0.634513218920401</v>
      </c>
      <c r="Y12" s="11" t="n">
        <f aca="false">IF(MAX(ABS(E12),ABS(O12))=0,0,-1*(E12-O12)/MAX(ABS(E12),ABS(O12)))</f>
        <v>0.205463519392177</v>
      </c>
      <c r="Z12" s="11" t="n">
        <f aca="false">IF(MAX(ABS(F12),ABS(P12))=0,0,1*(F12-P12)/MAX(ABS(F12),ABS(P12)))</f>
        <v>-0.734648358329227</v>
      </c>
      <c r="AA12" s="11" t="n">
        <f aca="false">IF(MAX(ABS(G12),ABS(Q12))=0,0,-1*(G12-Q12)/MAX(ABS(G12),ABS(Q12)))</f>
        <v>-0</v>
      </c>
      <c r="AB12" s="11" t="n">
        <f aca="false">IF(MAX(ABS(H12),ABS(R12))=0,0,1*(H12-R12)/MAX(ABS(H12),ABS(R12)))</f>
        <v>-0.189900880999853</v>
      </c>
      <c r="AC12" s="11" t="n">
        <f aca="false">IF(MAX(ABS(I12),ABS(S12))=0,0,-1*(I12-S12)/MAX(ABS(I12),ABS(S12)))</f>
        <v>0.105747165302666</v>
      </c>
      <c r="AD12" s="11" t="n">
        <f aca="false">IF(MAX(ABS(J12),ABS(T12))=0,0,-1*(J12-T12)/MAX(ABS(J12),ABS(T12)))</f>
        <v>-0.11683038383296</v>
      </c>
      <c r="AE12" s="11" t="n">
        <f aca="false">IF(MAX(ABS(K12),ABS(U12))=0,0,-1*(K12-U12)/MAX(ABS(K12),ABS(U12)))</f>
        <v>0.175859129653908</v>
      </c>
      <c r="AF12" s="11" t="n">
        <f aca="false">IF(MAX(ABS(L12),ABS(V12))=0,0,-1*(L12-V12)/MAX(ABS(L12),ABS(V12)))</f>
        <v>1</v>
      </c>
      <c r="AG12" s="11" t="n">
        <f aca="false">IF(MAX(ABS(M12),ABS(W12))=0,0,1*(M12-W12)/MAX(ABS(M12),ABS(W12)))</f>
        <v>-0.758924540633031</v>
      </c>
      <c r="AH12" s="24" t="n">
        <f aca="false">Веса!$E$39*X12+Веса!$E$40*Y12+Веса!$E$41*Z12+Веса!$E$42*AA12+Веса!$E$43*AB12+Веса!$E$44*AC12+Веса!$E$45*AD12+Веса!$E$46*AE12+Веса!$E$47*AF12+Веса!$E$48*AG12</f>
        <v>-0.0552108530533026</v>
      </c>
    </row>
    <row r="13" customFormat="false" ht="15" hidden="false" customHeight="false" outlineLevel="0" collapsed="false">
      <c r="A13" s="17" t="str">
        <f aca="false">Смена!A13</f>
        <v>фреза 0.12×1.8</v>
      </c>
      <c r="B13" s="19" t="b">
        <f aca="false">AND(Энергетика!Q13,Энергетика!R13)</f>
        <v>1</v>
      </c>
      <c r="C13" s="12" t="n">
        <f aca="false">IF(S_task&gt;0,S_task,Смена!V13)</f>
        <v>1.53941155192853</v>
      </c>
      <c r="D13" s="11" t="n">
        <f aca="false">3.6*Смена!Q13</f>
        <v>201.869680646804</v>
      </c>
      <c r="E13" s="11" t="n">
        <f aca="false">3.6*Смена!Q13*PEF_el</f>
        <v>504.674201617009</v>
      </c>
      <c r="F13" s="11" t="n">
        <f aca="false">MIN(1,Смена!P13/C13)</f>
        <v>0.26490370048894</v>
      </c>
      <c r="G13" s="11" t="n">
        <f aca="false">100*Энергетика!I13</f>
        <v>5.26544508970218</v>
      </c>
      <c r="H13" s="11" t="n">
        <f aca="false">100*Энергетика!O13</f>
        <v>39.3746724420994</v>
      </c>
      <c r="I13" s="11" t="n">
        <f aca="false">Экономика!N13</f>
        <v>16413.2433728453</v>
      </c>
      <c r="J13" s="11" t="n">
        <f aca="false">Экономика!P13</f>
        <v>24234.7991712992</v>
      </c>
      <c r="K13" s="11" t="n">
        <f aca="false">Смена!Q13*EF_grid</f>
        <v>33.9813962422119</v>
      </c>
      <c r="L13" s="11" t="n">
        <f aca="false">0</f>
        <v>0</v>
      </c>
      <c r="M13" s="11" t="n">
        <f aca="false">MIN(1,Смена!H13/C13)</f>
        <v>0.229223808968912</v>
      </c>
      <c r="N13" s="11" t="n">
        <f aca="false">Смена!W13*LHV_D</f>
        <v>583.841408031089</v>
      </c>
      <c r="O13" s="11" t="n">
        <f aca="false">Смена!W13*LHV_D*PEF_D</f>
        <v>671.417619235752</v>
      </c>
      <c r="P13" s="11" t="n">
        <f aca="false">MIN(1,Смена!V13/C13)</f>
        <v>1</v>
      </c>
      <c r="Q13" s="11" t="n">
        <f aca="false">100*Энергетика!K13</f>
        <v>5.26544508970218</v>
      </c>
      <c r="R13" s="11" t="n">
        <f aca="false">100*Энергетика!P13</f>
        <v>44.3922122191848</v>
      </c>
      <c r="S13" s="11" t="n">
        <f aca="false">Экономика!O13</f>
        <v>18332.7843642746</v>
      </c>
      <c r="T13" s="11" t="n">
        <f aca="false">Экономика!Q13</f>
        <v>21302.6232200786</v>
      </c>
      <c r="U13" s="11" t="n">
        <f aca="false">Смена!W13*EF_D</f>
        <v>43.5848182039921</v>
      </c>
      <c r="V13" s="11" t="n">
        <f aca="false">Смена!W13*EF_D</f>
        <v>43.5848182039921</v>
      </c>
      <c r="W13" s="11" t="n">
        <f aca="false">MIN(1,Смена!X13/C13)</f>
        <v>0.891057900763943</v>
      </c>
      <c r="X13" s="11" t="n">
        <f aca="false">IF(MAX(ABS(D13),ABS(N13))=0,0,-1*(D13-N13)/MAX(ABS(D13),ABS(N13)))</f>
        <v>0.65423884316877</v>
      </c>
      <c r="Y13" s="11" t="n">
        <f aca="false">IF(MAX(ABS(E13),ABS(O13))=0,0,-1*(E13-O13)/MAX(ABS(E13),ABS(O13)))</f>
        <v>0.248345311236456</v>
      </c>
      <c r="Z13" s="11" t="n">
        <f aca="false">IF(MAX(ABS(F13),ABS(P13))=0,0,1*(F13-P13)/MAX(ABS(F13),ABS(P13)))</f>
        <v>-0.73509629951106</v>
      </c>
      <c r="AA13" s="11" t="n">
        <f aca="false">IF(MAX(ABS(G13),ABS(Q13))=0,0,-1*(G13-Q13)/MAX(ABS(G13),ABS(Q13)))</f>
        <v>-0</v>
      </c>
      <c r="AB13" s="11" t="n">
        <f aca="false">IF(MAX(ABS(H13),ABS(R13))=0,0,1*(H13-R13)/MAX(ABS(H13),ABS(R13)))</f>
        <v>-0.113027477709638</v>
      </c>
      <c r="AC13" s="11" t="n">
        <f aca="false">IF(MAX(ABS(I13),ABS(S13))=0,0,-1*(I13-S13)/MAX(ABS(I13),ABS(S13)))</f>
        <v>0.104705371169368</v>
      </c>
      <c r="AD13" s="11" t="n">
        <f aca="false">IF(MAX(ABS(J13),ABS(T13))=0,0,-1*(J13-T13)/MAX(ABS(J13),ABS(T13)))</f>
        <v>-0.120990313577394</v>
      </c>
      <c r="AE13" s="11" t="n">
        <f aca="false">IF(MAX(ABS(K13),ABS(U13))=0,0,-1*(K13-U13)/MAX(ABS(K13),ABS(U13)))</f>
        <v>0.220338694928882</v>
      </c>
      <c r="AF13" s="11" t="n">
        <f aca="false">IF(MAX(ABS(L13),ABS(V13))=0,0,-1*(L13-V13)/MAX(ABS(L13),ABS(V13)))</f>
        <v>1</v>
      </c>
      <c r="AG13" s="11" t="n">
        <f aca="false">IF(MAX(ABS(M13),ABS(W13))=0,0,1*(M13-W13)/MAX(ABS(M13),ABS(W13)))</f>
        <v>-0.742750938213568</v>
      </c>
      <c r="AH13" s="24" t="n">
        <f aca="false">Веса!$E$39*X13+Веса!$E$40*Y13+Веса!$E$41*Z13+Веса!$E$42*AA13+Веса!$E$43*AB13+Веса!$E$44*AC13+Веса!$E$45*AD13+Веса!$E$46*AE13+Веса!$E$47*AF13+Веса!$E$48*AG13</f>
        <v>-0.0413390063388497</v>
      </c>
    </row>
    <row r="14" customFormat="false" ht="15" hidden="false" customHeight="false" outlineLevel="0" collapsed="false">
      <c r="A14" s="17" t="str">
        <f aca="false">Смена!A14</f>
        <v>фреза 0.12×2.7</v>
      </c>
      <c r="B14" s="19" t="b">
        <f aca="false">AND(Энергетика!Q14,Энергетика!R14)</f>
        <v>1</v>
      </c>
      <c r="C14" s="12" t="n">
        <f aca="false">IF(S_task&gt;0,S_task,Смена!V14)</f>
        <v>2.24315361685889</v>
      </c>
      <c r="D14" s="11" t="n">
        <f aca="false">3.6*Смена!Q14</f>
        <v>176.908131392237</v>
      </c>
      <c r="E14" s="11" t="n">
        <f aca="false">3.6*Смена!Q14*PEF_el</f>
        <v>442.270328480593</v>
      </c>
      <c r="F14" s="11" t="n">
        <f aca="false">MIN(1,Смена!P14/C14)</f>
        <v>0.265922684553204</v>
      </c>
      <c r="G14" s="11" t="n">
        <f aca="false">100*Энергетика!I14</f>
        <v>5.26544508970218</v>
      </c>
      <c r="H14" s="11" t="n">
        <f aca="false">100*Энергетика!O14</f>
        <v>18.9001593018718</v>
      </c>
      <c r="I14" s="11" t="n">
        <f aca="false">Экономика!N14</f>
        <v>11713.4191737418</v>
      </c>
      <c r="J14" s="11" t="n">
        <f aca="false">Экономика!P14</f>
        <v>17130.7284145158</v>
      </c>
      <c r="K14" s="11" t="n">
        <f aca="false">Смена!Q14*EF_grid</f>
        <v>29.7795354510266</v>
      </c>
      <c r="L14" s="11" t="n">
        <f aca="false">0</f>
        <v>0</v>
      </c>
      <c r="M14" s="11" t="n">
        <f aca="false">MIN(1,Смена!H14/C14)</f>
        <v>0.176053512565545</v>
      </c>
      <c r="N14" s="11" t="n">
        <f aca="false">Смена!W14*LHV_D</f>
        <v>463.562659903618</v>
      </c>
      <c r="O14" s="11" t="n">
        <f aca="false">Смена!W14*LHV_D*PEF_D</f>
        <v>533.09705888916</v>
      </c>
      <c r="P14" s="11" t="n">
        <f aca="false">MIN(1,Смена!V14/C14)</f>
        <v>1</v>
      </c>
      <c r="Q14" s="11" t="n">
        <f aca="false">100*Энергетика!K14</f>
        <v>5.26544508970218</v>
      </c>
      <c r="R14" s="11" t="n">
        <f aca="false">100*Энергетика!P14</f>
        <v>25.7103164396667</v>
      </c>
      <c r="S14" s="11" t="n">
        <f aca="false">Экономика!O14</f>
        <v>13152.7331866263</v>
      </c>
      <c r="T14" s="11" t="n">
        <f aca="false">Экономика!Q14</f>
        <v>15183.0380209735</v>
      </c>
      <c r="U14" s="11" t="n">
        <f aca="false">Смена!W14*EF_D</f>
        <v>34.6057918813843</v>
      </c>
      <c r="V14" s="11" t="n">
        <f aca="false">Смена!W14*EF_D</f>
        <v>34.6057918813843</v>
      </c>
      <c r="W14" s="11" t="n">
        <f aca="false">MIN(1,Смена!X14/C14)</f>
        <v>0.768712522125407</v>
      </c>
      <c r="X14" s="11" t="n">
        <f aca="false">IF(MAX(ABS(D14),ABS(N14))=0,0,-1*(D14-N14)/MAX(ABS(D14),ABS(N14)))</f>
        <v>0.618372775259725</v>
      </c>
      <c r="Y14" s="11" t="n">
        <f aca="false">IF(MAX(ABS(E14),ABS(O14))=0,0,-1*(E14-O14)/MAX(ABS(E14),ABS(O14)))</f>
        <v>0.170375598390707</v>
      </c>
      <c r="Z14" s="11" t="n">
        <f aca="false">IF(MAX(ABS(F14),ABS(P14))=0,0,1*(F14-P14)/MAX(ABS(F14),ABS(P14)))</f>
        <v>-0.734077315446796</v>
      </c>
      <c r="AA14" s="11" t="n">
        <f aca="false">IF(MAX(ABS(G14),ABS(Q14))=0,0,-1*(G14-Q14)/MAX(ABS(G14),ABS(Q14)))</f>
        <v>-0</v>
      </c>
      <c r="AB14" s="11" t="n">
        <f aca="false">IF(MAX(ABS(H14),ABS(R14))=0,0,1*(H14-R14)/MAX(ABS(H14),ABS(R14)))</f>
        <v>-0.264880331355548</v>
      </c>
      <c r="AC14" s="11" t="n">
        <f aca="false">IF(MAX(ABS(I14),ABS(S14))=0,0,-1*(I14-S14)/MAX(ABS(I14),ABS(S14)))</f>
        <v>0.109430792251452</v>
      </c>
      <c r="AD14" s="11" t="n">
        <f aca="false">IF(MAX(ABS(J14),ABS(T14))=0,0,-1*(J14-T14)/MAX(ABS(J14),ABS(T14)))</f>
        <v>-0.11369571371477</v>
      </c>
      <c r="AE14" s="11" t="n">
        <f aca="false">IF(MAX(ABS(K14),ABS(U14))=0,0,-1*(K14-U14)/MAX(ABS(K14),ABS(U14)))</f>
        <v>0.139463834461591</v>
      </c>
      <c r="AF14" s="11" t="n">
        <f aca="false">IF(MAX(ABS(L14),ABS(V14))=0,0,-1*(L14-V14)/MAX(ABS(L14),ABS(V14)))</f>
        <v>1</v>
      </c>
      <c r="AG14" s="11" t="n">
        <f aca="false">IF(MAX(ABS(M14),ABS(W14))=0,0,1*(M14-W14)/MAX(ABS(M14),ABS(W14)))</f>
        <v>-0.770976135423453</v>
      </c>
      <c r="AH14" s="24" t="n">
        <f aca="false">Веса!$E$39*X14+Веса!$E$40*Y14+Веса!$E$41*Z14+Веса!$E$42*AA14+Веса!$E$43*AB14+Веса!$E$44*AC14+Веса!$E$45*AD14+Веса!$E$46*AE14+Веса!$E$47*AF14+Веса!$E$48*AG14</f>
        <v>-0.066896809865312</v>
      </c>
    </row>
    <row r="15" customFormat="false" ht="15" hidden="false" customHeight="false" outlineLevel="0" collapsed="false">
      <c r="A15" s="17" t="str">
        <f aca="false">Смена!A15</f>
        <v>фреза 0.12×3.6</v>
      </c>
      <c r="B15" s="19" t="b">
        <f aca="false">AND(Энергетика!Q15,Энергетика!R15)</f>
        <v>1</v>
      </c>
      <c r="C15" s="12" t="n">
        <f aca="false">IF(S_task&gt;0,S_task,Смена!V15)</f>
        <v>2.91014539717104</v>
      </c>
      <c r="D15" s="11" t="n">
        <f aca="false">3.6*Смена!Q15</f>
        <v>158.103960871899</v>
      </c>
      <c r="E15" s="11" t="n">
        <f aca="false">3.6*Смена!Q15*PEF_el</f>
        <v>395.259902179747</v>
      </c>
      <c r="F15" s="11" t="n">
        <f aca="false">MIN(1,Смена!P15/C15)</f>
        <v>0.266677677478011</v>
      </c>
      <c r="G15" s="11" t="n">
        <f aca="false">100*Энергетика!I15</f>
        <v>5.26544508970218</v>
      </c>
      <c r="H15" s="11" t="n">
        <f aca="false">100*Энергетика!O15</f>
        <v>2.62919884803082</v>
      </c>
      <c r="I15" s="11" t="n">
        <f aca="false">Экономика!N15</f>
        <v>9283.42829119996</v>
      </c>
      <c r="J15" s="11" t="n">
        <f aca="false">Экономика!P15</f>
        <v>13593.5350756887</v>
      </c>
      <c r="K15" s="11" t="n">
        <f aca="false">Смена!Q15*EF_grid</f>
        <v>26.6141667467696</v>
      </c>
      <c r="L15" s="11" t="n">
        <f aca="false">0</f>
        <v>0</v>
      </c>
      <c r="M15" s="11" t="n">
        <f aca="false">MIN(1,Смена!H15/C15)</f>
        <v>0.150406446053166</v>
      </c>
      <c r="N15" s="11" t="n">
        <f aca="false">Смена!W15*LHV_D</f>
        <v>392.74998450013</v>
      </c>
      <c r="O15" s="11" t="n">
        <f aca="false">Смена!W15*LHV_D*PEF_D</f>
        <v>451.662482175149</v>
      </c>
      <c r="P15" s="11" t="n">
        <f aca="false">MIN(1,Смена!V15/C15)</f>
        <v>1</v>
      </c>
      <c r="Q15" s="11" t="n">
        <f aca="false">100*Энергетика!K15</f>
        <v>5.26544508970218</v>
      </c>
      <c r="R15" s="11" t="n">
        <f aca="false">100*Энергетика!P15</f>
        <v>10.9375215883101</v>
      </c>
      <c r="S15" s="11" t="n">
        <f aca="false">Экономика!O15</f>
        <v>10460.0459960572</v>
      </c>
      <c r="T15" s="11" t="n">
        <f aca="false">Экономика!Q15</f>
        <v>12020.5838196761</v>
      </c>
      <c r="U15" s="11" t="n">
        <f aca="false">Смена!W15*EF_D</f>
        <v>29.319497450149</v>
      </c>
      <c r="V15" s="11" t="n">
        <f aca="false">Смена!W15*EF_D</f>
        <v>29.319497450149</v>
      </c>
      <c r="W15" s="11" t="n">
        <f aca="false">MIN(1,Смена!X15/C15)</f>
        <v>0.698598333183333</v>
      </c>
      <c r="X15" s="11" t="n">
        <f aca="false">IF(MAX(ABS(D15),ABS(N15))=0,0,-1*(D15-N15)/MAX(ABS(D15),ABS(N15)))</f>
        <v>0.597443750193588</v>
      </c>
      <c r="Y15" s="11" t="n">
        <f aca="false">IF(MAX(ABS(E15),ABS(O15))=0,0,-1*(E15-O15)/MAX(ABS(E15),ABS(O15)))</f>
        <v>0.124877717812148</v>
      </c>
      <c r="Z15" s="11" t="n">
        <f aca="false">IF(MAX(ABS(F15),ABS(P15))=0,0,1*(F15-P15)/MAX(ABS(F15),ABS(P15)))</f>
        <v>-0.733322322521989</v>
      </c>
      <c r="AA15" s="11" t="n">
        <f aca="false">IF(MAX(ABS(G15),ABS(Q15))=0,0,-1*(G15-Q15)/MAX(ABS(G15),ABS(Q15)))</f>
        <v>-0</v>
      </c>
      <c r="AB15" s="11" t="n">
        <f aca="false">IF(MAX(ABS(H15),ABS(R15))=0,0,1*(H15-R15)/MAX(ABS(H15),ABS(R15)))</f>
        <v>-0.75961657978889</v>
      </c>
      <c r="AC15" s="11" t="n">
        <f aca="false">IF(MAX(ABS(I15),ABS(S15))=0,0,-1*(I15-S15)/MAX(ABS(I15),ABS(S15)))</f>
        <v>0.112486857639128</v>
      </c>
      <c r="AD15" s="11" t="n">
        <f aca="false">IF(MAX(ABS(J15),ABS(T15))=0,0,-1*(J15-T15)/MAX(ABS(J15),ABS(T15)))</f>
        <v>-0.115713186250259</v>
      </c>
      <c r="AE15" s="11" t="n">
        <f aca="false">IF(MAX(ABS(K15),ABS(U15))=0,0,-1*(K15-U15)/MAX(ABS(K15),ABS(U15)))</f>
        <v>0.0922707051162508</v>
      </c>
      <c r="AF15" s="11" t="n">
        <f aca="false">IF(MAX(ABS(L15),ABS(V15))=0,0,-1*(L15-V15)/MAX(ABS(L15),ABS(V15)))</f>
        <v>1</v>
      </c>
      <c r="AG15" s="11" t="n">
        <f aca="false">IF(MAX(ABS(M15),ABS(W15))=0,0,1*(M15-W15)/MAX(ABS(M15),ABS(W15)))</f>
        <v>-0.78470254091818</v>
      </c>
      <c r="AH15" s="24" t="n">
        <f aca="false">Веса!$E$39*X15+Веса!$E$40*Y15+Веса!$E$41*Z15+Веса!$E$42*AA15+Веса!$E$43*AB15+Веса!$E$44*AC15+Веса!$E$45*AD15+Веса!$E$46*AE15+Веса!$E$47*AF15+Веса!$E$48*AG15</f>
        <v>-0.106802877343651</v>
      </c>
    </row>
    <row r="16" customFormat="false" ht="15" hidden="false" customHeight="false" outlineLevel="0" collapsed="false">
      <c r="A16" s="17" t="str">
        <f aca="false">Смена!A16</f>
        <v>фреза 0.16×1.8</v>
      </c>
      <c r="B16" s="19" t="b">
        <f aca="false">AND(Энергетика!Q16,Энергетика!R16)</f>
        <v>1</v>
      </c>
      <c r="C16" s="12" t="n">
        <f aca="false">IF(S_task&gt;0,S_task,Смена!V16)</f>
        <v>1.53461061796752</v>
      </c>
      <c r="D16" s="11" t="n">
        <f aca="false">3.6*Смена!Q16</f>
        <v>247.308807050882</v>
      </c>
      <c r="E16" s="11" t="n">
        <f aca="false">3.6*Смена!Q16*PEF_el</f>
        <v>618.272017627205</v>
      </c>
      <c r="F16" s="11" t="n">
        <f aca="false">MIN(1,Смена!P16/C16)</f>
        <v>0.265732435255392</v>
      </c>
      <c r="G16" s="11" t="n">
        <f aca="false">100*Энергетика!I16</f>
        <v>5.26544508970218</v>
      </c>
      <c r="H16" s="11" t="n">
        <f aca="false">100*Энергетика!O16</f>
        <v>24.2715723758287</v>
      </c>
      <c r="I16" s="11" t="n">
        <f aca="false">Экономика!N16</f>
        <v>16988.6794208347</v>
      </c>
      <c r="J16" s="11" t="n">
        <f aca="false">Экономика!P16</f>
        <v>24843.0989914268</v>
      </c>
      <c r="K16" s="11" t="n">
        <f aca="false">Смена!Q16*EF_grid</f>
        <v>41.6303158535651</v>
      </c>
      <c r="L16" s="11" t="n">
        <f aca="false">0</f>
        <v>0</v>
      </c>
      <c r="M16" s="11" t="n">
        <f aca="false">MIN(1,Смена!H16/C16)</f>
        <v>0.184667104248334</v>
      </c>
      <c r="N16" s="11" t="n">
        <f aca="false">Смена!W16*LHV_D</f>
        <v>660.538966119544</v>
      </c>
      <c r="O16" s="11" t="n">
        <f aca="false">Смена!W16*LHV_D*PEF_D</f>
        <v>759.619811037476</v>
      </c>
      <c r="P16" s="11" t="n">
        <f aca="false">MIN(1,Смена!V16/C16)</f>
        <v>1</v>
      </c>
      <c r="Q16" s="11" t="n">
        <f aca="false">100*Энергетика!K16</f>
        <v>5.26544508970218</v>
      </c>
      <c r="R16" s="11" t="n">
        <f aca="false">100*Энергетика!P16</f>
        <v>30.3470587759138</v>
      </c>
      <c r="S16" s="11" t="n">
        <f aca="false">Экономика!O16</f>
        <v>19070.5178799006</v>
      </c>
      <c r="T16" s="11" t="n">
        <f aca="false">Экономика!Q16</f>
        <v>22040.3567357045</v>
      </c>
      <c r="U16" s="11" t="n">
        <f aca="false">Смена!W16*EF_D</f>
        <v>49.3104297827403</v>
      </c>
      <c r="V16" s="11" t="n">
        <f aca="false">Смена!W16*EF_D</f>
        <v>49.3104297827403</v>
      </c>
      <c r="W16" s="11" t="n">
        <f aca="false">MIN(1,Смена!X16/C16)</f>
        <v>0.788806059655743</v>
      </c>
      <c r="X16" s="11" t="n">
        <f aca="false">IF(MAX(ABS(D16),ABS(N16))=0,0,-1*(D16-N16)/MAX(ABS(D16),ABS(N16)))</f>
        <v>0.625595430798364</v>
      </c>
      <c r="Y16" s="11" t="n">
        <f aca="false">IF(MAX(ABS(E16),ABS(O16))=0,0,-1*(E16-O16)/MAX(ABS(E16),ABS(O16)))</f>
        <v>0.186077023474704</v>
      </c>
      <c r="Z16" s="11" t="n">
        <f aca="false">IF(MAX(ABS(F16),ABS(P16))=0,0,1*(F16-P16)/MAX(ABS(F16),ABS(P16)))</f>
        <v>-0.734267564744608</v>
      </c>
      <c r="AA16" s="11" t="n">
        <f aca="false">IF(MAX(ABS(G16),ABS(Q16))=0,0,-1*(G16-Q16)/MAX(ABS(G16),ABS(Q16)))</f>
        <v>-0</v>
      </c>
      <c r="AB16" s="11" t="n">
        <f aca="false">IF(MAX(ABS(H16),ABS(R16))=0,0,1*(H16-R16)/MAX(ABS(H16),ABS(R16)))</f>
        <v>-0.200200172443305</v>
      </c>
      <c r="AC16" s="11" t="n">
        <f aca="false">IF(MAX(ABS(I16),ABS(S16))=0,0,-1*(I16-S16)/MAX(ABS(I16),ABS(S16)))</f>
        <v>0.109165281833276</v>
      </c>
      <c r="AD16" s="11" t="n">
        <f aca="false">IF(MAX(ABS(J16),ABS(T16))=0,0,-1*(J16-T16)/MAX(ABS(J16),ABS(T16)))</f>
        <v>-0.112817738909688</v>
      </c>
      <c r="AE16" s="11" t="n">
        <f aca="false">IF(MAX(ABS(K16),ABS(U16))=0,0,-1*(K16-U16)/MAX(ABS(K16),ABS(U16)))</f>
        <v>0.155750293863052</v>
      </c>
      <c r="AF16" s="11" t="n">
        <f aca="false">IF(MAX(ABS(L16),ABS(V16))=0,0,-1*(L16-V16)/MAX(ABS(L16),ABS(V16)))</f>
        <v>1</v>
      </c>
      <c r="AG16" s="11" t="n">
        <f aca="false">IF(MAX(ABS(M16),ABS(W16))=0,0,1*(M16-W16)/MAX(ABS(M16),ABS(W16)))</f>
        <v>-0.765890357981114</v>
      </c>
      <c r="AH16" s="24" t="n">
        <f aca="false">Веса!$E$39*X16+Веса!$E$40*Y16+Веса!$E$41*Z16+Веса!$E$42*AA16+Веса!$E$43*AB16+Веса!$E$44*AC16+Веса!$E$45*AD16+Веса!$E$46*AE16+Веса!$E$47*AF16+Веса!$E$48*AG16</f>
        <v>-0.0593816392997112</v>
      </c>
    </row>
    <row r="17" customFormat="false" ht="15" hidden="false" customHeight="false" outlineLevel="0" collapsed="false">
      <c r="A17" s="17" t="str">
        <f aca="false">Смена!A17</f>
        <v>фреза 0.16×2.7</v>
      </c>
      <c r="B17" s="19" t="b">
        <f aca="false">AND(Энергетика!Q17,Энергетика!R17)</f>
        <v>0</v>
      </c>
      <c r="C17" s="12" t="n">
        <f aca="false">IF(S_task&gt;0,S_task,Смена!V17)</f>
        <v>2.23383429737424</v>
      </c>
      <c r="D17" s="11" t="n">
        <f aca="false">3.6*Смена!Q17</f>
        <v>218.131660534279</v>
      </c>
      <c r="E17" s="11" t="n">
        <f aca="false">3.6*Смена!Q17*PEF_el</f>
        <v>545.329151335697</v>
      </c>
      <c r="F17" s="11" t="n">
        <f aca="false">MIN(1,Смена!P17/C17)</f>
        <v>0.267032085755647</v>
      </c>
      <c r="G17" s="11" t="n">
        <f aca="false">100*Энергетика!I17</f>
        <v>5.26544508970218</v>
      </c>
      <c r="H17" s="11" t="n">
        <f aca="false">100*Энергетика!O17</f>
        <v>-1.65271445434092</v>
      </c>
      <c r="I17" s="11" t="n">
        <f aca="false">Экономика!N17</f>
        <v>12235.4693664045</v>
      </c>
      <c r="J17" s="11" t="n">
        <f aca="false">Экономика!P17</f>
        <v>17931.1115094705</v>
      </c>
      <c r="K17" s="11" t="n">
        <f aca="false">Смена!Q17*EF_grid</f>
        <v>36.7188295232702</v>
      </c>
      <c r="L17" s="11" t="n">
        <f aca="false">0</f>
        <v>0</v>
      </c>
      <c r="M17" s="11" t="n">
        <f aca="false">MIN(1,Смена!H17/C17)</f>
        <v>0.141552548515034</v>
      </c>
      <c r="N17" s="11" t="n">
        <f aca="false">Смена!W17*LHV_D</f>
        <v>533.144832245652</v>
      </c>
      <c r="O17" s="11" t="n">
        <f aca="false">Смена!W17*LHV_D*PEF_D</f>
        <v>613.1165570825</v>
      </c>
      <c r="P17" s="11" t="n">
        <f aca="false">MIN(1,Смена!V17/C17)</f>
        <v>1</v>
      </c>
      <c r="Q17" s="11" t="n">
        <f aca="false">100*Энергетика!K17</f>
        <v>5.26544508970218</v>
      </c>
      <c r="R17" s="11" t="n">
        <f aca="false">100*Энергетика!P17</f>
        <v>6.59713673884084</v>
      </c>
      <c r="S17" s="11" t="n">
        <f aca="false">Экономика!O17</f>
        <v>13822.0309931799</v>
      </c>
      <c r="T17" s="11" t="n">
        <f aca="false">Экономика!Q17</f>
        <v>15852.3358275271</v>
      </c>
      <c r="U17" s="11" t="n">
        <f aca="false">Смена!W17*EF_D</f>
        <v>39.8002270311518</v>
      </c>
      <c r="V17" s="11" t="n">
        <f aca="false">Смена!W17*EF_D</f>
        <v>39.8002270311518</v>
      </c>
      <c r="W17" s="11" t="n">
        <f aca="false">MIN(1,Смена!X17/C17)</f>
        <v>0.670147134139933</v>
      </c>
      <c r="X17" s="11" t="n">
        <f aca="false">IF(MAX(ABS(D17),ABS(N17))=0,0,-1*(D17-N17)/MAX(ABS(D17),ABS(N17)))</f>
        <v>0.590858529725424</v>
      </c>
      <c r="Y17" s="11" t="n">
        <f aca="false">IF(MAX(ABS(E17),ABS(O17))=0,0,-1*(E17-O17)/MAX(ABS(E17),ABS(O17)))</f>
        <v>0.110562021142225</v>
      </c>
      <c r="Z17" s="11" t="n">
        <f aca="false">IF(MAX(ABS(F17),ABS(P17))=0,0,1*(F17-P17)/MAX(ABS(F17),ABS(P17)))</f>
        <v>-0.732967914244353</v>
      </c>
      <c r="AA17" s="11" t="n">
        <f aca="false">IF(MAX(ABS(G17),ABS(Q17))=0,0,-1*(G17-Q17)/MAX(ABS(G17),ABS(Q17)))</f>
        <v>-0</v>
      </c>
      <c r="AB17" s="11" t="n">
        <f aca="false">IF(MAX(ABS(H17),ABS(R17))=0,0,1*(H17-R17)/MAX(ABS(H17),ABS(R17)))</f>
        <v>-1.25051996339723</v>
      </c>
      <c r="AC17" s="11" t="n">
        <f aca="false">IF(MAX(ABS(I17),ABS(S17))=0,0,-1*(I17-S17)/MAX(ABS(I17),ABS(S17)))</f>
        <v>0.114784985474148</v>
      </c>
      <c r="AD17" s="11" t="n">
        <f aca="false">IF(MAX(ABS(J17),ABS(T17))=0,0,-1*(J17-T17)/MAX(ABS(J17),ABS(T17)))</f>
        <v>-0.115931222715638</v>
      </c>
      <c r="AE17" s="11" t="n">
        <f aca="false">IF(MAX(ABS(K17),ABS(U17))=0,0,-1*(K17-U17)/MAX(ABS(K17),ABS(U17)))</f>
        <v>0.07742160630063</v>
      </c>
      <c r="AF17" s="11" t="n">
        <f aca="false">IF(MAX(ABS(L17),ABS(V17))=0,0,-1*(L17-V17)/MAX(ABS(L17),ABS(V17)))</f>
        <v>1</v>
      </c>
      <c r="AG17" s="11" t="n">
        <f aca="false">IF(MAX(ABS(M17),ABS(W17))=0,0,1*(M17-W17)/MAX(ABS(M17),ABS(W17)))</f>
        <v>-0.788773925450413</v>
      </c>
      <c r="AH17" s="24" t="n">
        <f aca="false">Веса!$E$39*X17+Веса!$E$40*Y17+Веса!$E$41*Z17+Веса!$E$42*AA17+Веса!$E$43*AB17+Веса!$E$44*AC17+Веса!$E$45*AD17+Веса!$E$46*AE17+Веса!$E$47*AF17+Веса!$E$48*AG17</f>
        <v>-0.13938407985737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40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12" min="2" style="0" width="10"/>
  </cols>
  <sheetData>
    <row r="1" customFormat="false" ht="45" hidden="false" customHeight="true" outlineLevel="0" collapsed="false">
      <c r="A1" s="4" t="s">
        <v>461</v>
      </c>
      <c r="B1" s="4" t="s">
        <v>411</v>
      </c>
      <c r="C1" s="4" t="s">
        <v>412</v>
      </c>
      <c r="D1" s="4" t="s">
        <v>415</v>
      </c>
      <c r="E1" s="4" t="s">
        <v>416</v>
      </c>
      <c r="F1" s="4" t="s">
        <v>417</v>
      </c>
      <c r="G1" s="4" t="s">
        <v>418</v>
      </c>
      <c r="H1" s="4" t="s">
        <v>419</v>
      </c>
      <c r="I1" s="4" t="s">
        <v>420</v>
      </c>
      <c r="J1" s="4" t="s">
        <v>421</v>
      </c>
      <c r="K1" s="4" t="s">
        <v>422</v>
      </c>
      <c r="L1" s="4" t="s">
        <v>462</v>
      </c>
      <c r="N1" s="9" t="s">
        <v>463</v>
      </c>
      <c r="O1" s="9" t="s">
        <v>464</v>
      </c>
      <c r="P1" s="9" t="s">
        <v>465</v>
      </c>
      <c r="Q1" s="9" t="s">
        <v>466</v>
      </c>
      <c r="R1" s="9" t="s">
        <v>467</v>
      </c>
      <c r="S1" s="9" t="s">
        <v>468</v>
      </c>
      <c r="T1" s="9" t="s">
        <v>469</v>
      </c>
      <c r="U1" s="9" t="s">
        <v>470</v>
      </c>
      <c r="V1" s="9" t="s">
        <v>471</v>
      </c>
      <c r="W1" s="9" t="s">
        <v>472</v>
      </c>
      <c r="Y1" s="9" t="s">
        <v>473</v>
      </c>
      <c r="Z1" s="9" t="s">
        <v>474</v>
      </c>
      <c r="AA1" s="9" t="s">
        <v>475</v>
      </c>
      <c r="AB1" s="9" t="s">
        <v>476</v>
      </c>
      <c r="AC1" s="9" t="s">
        <v>477</v>
      </c>
      <c r="AD1" s="9" t="s">
        <v>478</v>
      </c>
      <c r="AE1" s="9" t="s">
        <v>479</v>
      </c>
      <c r="AF1" s="9" t="s">
        <v>480</v>
      </c>
      <c r="AG1" s="9" t="s">
        <v>481</v>
      </c>
      <c r="AH1" s="9" t="s">
        <v>482</v>
      </c>
    </row>
    <row r="2" customFormat="false" ht="15" hidden="false" customHeight="false" outlineLevel="0" collapsed="false">
      <c r="A2" s="17" t="str">
        <f aca="false">Показатели!A2&amp;" ЭТ"</f>
        <v>культиватор 0.08×3.6 ЭТ</v>
      </c>
      <c r="B2" s="25" t="n">
        <f aca="false">Показатели!D2</f>
        <v>79.2014401416618</v>
      </c>
      <c r="C2" s="25" t="n">
        <f aca="false">Показатели!E2</f>
        <v>198.003600354155</v>
      </c>
      <c r="D2" s="25" t="n">
        <f aca="false">Показатели!F2</f>
        <v>0.292748360411437</v>
      </c>
      <c r="E2" s="25" t="n">
        <f aca="false">Показатели!G2</f>
        <v>11.2085588444346</v>
      </c>
      <c r="F2" s="25" t="n">
        <f aca="false">Показатели!H2</f>
        <v>54.017639948585</v>
      </c>
      <c r="G2" s="25" t="n">
        <f aca="false">Показатели!I2</f>
        <v>8103.3814753019</v>
      </c>
      <c r="H2" s="25" t="n">
        <f aca="false">Показатели!J2</f>
        <v>12384.5599105601</v>
      </c>
      <c r="I2" s="25" t="n">
        <f aca="false">Показатели!K2</f>
        <v>13.3322424238464</v>
      </c>
      <c r="J2" s="25" t="n">
        <f aca="false">Показатели!L2</f>
        <v>0</v>
      </c>
      <c r="K2" s="25" t="n">
        <f aca="false">Показатели!M2</f>
        <v>0.308653026915336</v>
      </c>
      <c r="L2" s="26" t="b">
        <f aca="false">Показатели!B2</f>
        <v>1</v>
      </c>
      <c r="N2" s="15" t="n">
        <f aca="false">IF($L2,IF(B$37&gt;B$36,(B2-B$36)/(B$37-B$36),0)+0.000001,0)</f>
        <v>1E-006</v>
      </c>
      <c r="O2" s="15" t="n">
        <f aca="false">IF($L2,IF(C$37&gt;C$36,(C2-C$36)/(C$37-C$36),0)+0.000001,0)</f>
        <v>1E-006</v>
      </c>
      <c r="P2" s="15" t="n">
        <f aca="false">IF($L2,IF(D$37&gt;D$36,(D2-D$36)/(D$37-D$36),0)+0.000001,0)</f>
        <v>0.038298848491862</v>
      </c>
      <c r="Q2" s="15" t="n">
        <f aca="false">IF($L2,IF(E$37&gt;E$36,(E2-E$36)/(E$37-E$36),0)+0.000001,0)</f>
        <v>0.484995643357779</v>
      </c>
      <c r="R2" s="15" t="n">
        <f aca="false">IF($L2,IF(F$37&gt;F$36,(F2-F$36)/(F$37-F$36),0)+0.000001,0)</f>
        <v>0.915751390691913</v>
      </c>
      <c r="S2" s="15" t="n">
        <f aca="false">IF($L2,IF(G$37&gt;G$36,(G2-G$36)/(G$37-G$36),0)+0.000001,0)</f>
        <v>0.136542414780497</v>
      </c>
      <c r="T2" s="15" t="n">
        <f aca="false">IF($L2,IF(H$37&gt;H$36,(H2-H$36)/(H$37-H$36),0)+0.000001,0)</f>
        <v>0.249361109100056</v>
      </c>
      <c r="U2" s="15" t="n">
        <f aca="false">IF($L2,IF(I$37&gt;I$36,(I2-I$36)/(I$37-I$36),0)+0.000001,0)</f>
        <v>1E-006</v>
      </c>
      <c r="V2" s="15" t="n">
        <f aca="false">IF($L2,IF(J$37&gt;J$36,(J2-J$36)/(J$37-J$36),0)+0.000001,0)</f>
        <v>1E-006</v>
      </c>
      <c r="W2" s="15" t="n">
        <f aca="false">IF($L2,IF(K$37&gt;K$36,(K2-K$36)/(K$37-K$36),0)+0.000001,0)</f>
        <v>0.186262513081198</v>
      </c>
      <c r="Y2" s="15" t="n">
        <f aca="false">IF($L2,N2/N$38*LN(N2/N$38),0)</f>
        <v>-1.99043245268994E-006</v>
      </c>
      <c r="Z2" s="15" t="n">
        <f aca="false">IF($L2,O2/O$38*LN(O2/O$38),0)</f>
        <v>-1.82517848272539E-006</v>
      </c>
      <c r="AA2" s="15" t="n">
        <f aca="false">IF($L2,P2/P$38*LN(P2/P$38),0)</f>
        <v>-0.017075705450059</v>
      </c>
      <c r="AB2" s="15" t="n">
        <f aca="false">IF($L2,Q2/Q$38*LN(Q2/Q$38),0)</f>
        <v>-0.164028125216397</v>
      </c>
      <c r="AC2" s="15" t="n">
        <f aca="false">IF($L2,R2/R$38*LN(R2/R$38),0)</f>
        <v>-0.173939600261264</v>
      </c>
      <c r="AD2" s="15" t="n">
        <f aca="false">IF($L2,S2/S$38*LN(S2/S$38),0)</f>
        <v>-0.0612071679106401</v>
      </c>
      <c r="AE2" s="15" t="n">
        <f aca="false">IF($L2,T2/T$38*LN(T2/T$38),0)</f>
        <v>-0.0945886395652834</v>
      </c>
      <c r="AF2" s="15" t="n">
        <f aca="false">IF($L2,U2/U$38*LN(U2/U$38),0)</f>
        <v>-1.81268867411175E-006</v>
      </c>
      <c r="AG2" s="15" t="n">
        <f aca="false">IF($L2,V2/V$38*LN(V2/V$38),0)</f>
        <v>-2.11138376284076E-006</v>
      </c>
      <c r="AH2" s="15" t="n">
        <f aca="false">IF($L2,W2/W$38*LN(W2/W$38),0)</f>
        <v>-0.0652098205787649</v>
      </c>
    </row>
    <row r="3" customFormat="false" ht="15" hidden="false" customHeight="false" outlineLevel="0" collapsed="false">
      <c r="A3" s="17" t="str">
        <f aca="false">Показатели!A2&amp;" Д"</f>
        <v>культиватор 0.08×3.6 Д</v>
      </c>
      <c r="B3" s="25" t="n">
        <f aca="false">Показатели!N2</f>
        <v>273.563852600782</v>
      </c>
      <c r="C3" s="25" t="n">
        <f aca="false">Показатели!O2</f>
        <v>314.598430490899</v>
      </c>
      <c r="D3" s="25" t="n">
        <f aca="false">Показатели!P2</f>
        <v>1</v>
      </c>
      <c r="E3" s="25" t="n">
        <f aca="false">Показатели!Q2</f>
        <v>12.2602312135218</v>
      </c>
      <c r="F3" s="25" t="n">
        <f aca="false">Показатели!R2</f>
        <v>58.5975931686047</v>
      </c>
      <c r="G3" s="25" t="n">
        <f aca="false">Показатели!S2</f>
        <v>9592.11014120956</v>
      </c>
      <c r="H3" s="25" t="n">
        <f aca="false">Показатели!T2</f>
        <v>11217.6703741459</v>
      </c>
      <c r="I3" s="25" t="n">
        <f aca="false">Показатели!U2</f>
        <v>20.422036907245</v>
      </c>
      <c r="J3" s="25" t="n">
        <f aca="false">Показатели!V2</f>
        <v>20.422036907245</v>
      </c>
      <c r="K3" s="25" t="n">
        <f aca="false">Показатели!W2</f>
        <v>1</v>
      </c>
      <c r="L3" s="26" t="b">
        <f aca="false">Показатели!B2</f>
        <v>1</v>
      </c>
      <c r="N3" s="15" t="n">
        <f aca="false">IF($L3,IF(B$37&gt;B$36,(B3-B$36)/(B$37-B$36),0)+0.000001,0)</f>
        <v>0.33433760098267</v>
      </c>
      <c r="O3" s="15" t="n">
        <f aca="false">IF($L3,IF(C$37&gt;C$36,(C3-C$36)/(C$37-C$36),0)+0.000001,0)</f>
        <v>0.207606884443547</v>
      </c>
      <c r="P3" s="15" t="n">
        <f aca="false">IF($L3,IF(D$37&gt;D$36,(D3-D$36)/(D$37-D$36),0)+0.000001,0)</f>
        <v>1.000001</v>
      </c>
      <c r="Q3" s="15" t="n">
        <f aca="false">IF($L3,IF(E$37&gt;E$36,(E3-E$36)/(E$37-E$36),0)+0.000001,0)</f>
        <v>0.57081857837539</v>
      </c>
      <c r="R3" s="15" t="n">
        <f aca="false">IF($L3,IF(F$37&gt;F$36,(F3-F$36)/(F$37-F$36),0)+0.000001,0)</f>
        <v>0.997366903067099</v>
      </c>
      <c r="S3" s="15" t="n">
        <f aca="false">IF($L3,IF(G$37&gt;G$36,(G3-G$36)/(G$37-G$36),0)+0.000001,0)</f>
        <v>0.253752185883676</v>
      </c>
      <c r="T3" s="15" t="n">
        <f aca="false">IF($L3,IF(H$37&gt;H$36,(H3-H$36)/(H$37-H$36),0)+0.000001,0)</f>
        <v>0.17905480523724</v>
      </c>
      <c r="U3" s="15" t="n">
        <f aca="false">IF($L3,IF(I$37&gt;I$36,(I3-I$36)/(I$37-I$36),0)+0.000001,0)</f>
        <v>0.197059134493425</v>
      </c>
      <c r="V3" s="15" t="n">
        <f aca="false">IF($L3,IF(J$37&gt;J$36,(J3-J$36)/(J$37-J$36),0)+0.000001,0)</f>
        <v>0.414153482491505</v>
      </c>
      <c r="W3" s="15" t="n">
        <f aca="false">IF($L3,IF(K$37&gt;K$36,(K3-K$36)/(K$37-K$36),0)+0.000001,0)</f>
        <v>1.000001</v>
      </c>
      <c r="Y3" s="15" t="n">
        <f aca="false">IF($L3,N3/N$38*LN(N3/N$38),0)</f>
        <v>-0.132866047815586</v>
      </c>
      <c r="Z3" s="15" t="n">
        <f aca="false">IF($L3,O3/O$38*LN(O3/O$38),0)</f>
        <v>-0.088702830338015</v>
      </c>
      <c r="AA3" s="15" t="n">
        <f aca="false">IF($L3,P3/P$38*LN(P3/P$38),0)</f>
        <v>-0.196525298562203</v>
      </c>
      <c r="AB3" s="15" t="n">
        <f aca="false">IF($L3,Q3/Q$38*LN(Q3/Q$38),0)</f>
        <v>-0.182047154000211</v>
      </c>
      <c r="AC3" s="15" t="n">
        <f aca="false">IF($L3,R3/R$38*LN(R3/R$38),0)</f>
        <v>-0.183596093317424</v>
      </c>
      <c r="AD3" s="15" t="n">
        <f aca="false">IF($L3,S3/S$38*LN(S3/S$38),0)</f>
        <v>-0.097112644649444</v>
      </c>
      <c r="AE3" s="15" t="n">
        <f aca="false">IF($L3,T3/T$38*LN(T3/T$38),0)</f>
        <v>-0.0740761452679768</v>
      </c>
      <c r="AF3" s="15" t="n">
        <f aca="false">IF($L3,U3/U$38*LN(U3/U$38),0)</f>
        <v>-0.0849099289054879</v>
      </c>
      <c r="AG3" s="15" t="n">
        <f aca="false">IF($L3,V3/V$38*LN(V3/V$38),0)</f>
        <v>-0.159976803068702</v>
      </c>
      <c r="AH3" s="15" t="n">
        <f aca="false">IF($L3,W3/W$38*LN(W3/W$38),0)</f>
        <v>-0.20846649884251</v>
      </c>
    </row>
    <row r="4" customFormat="false" ht="15" hidden="false" customHeight="false" outlineLevel="0" collapsed="false">
      <c r="A4" s="17" t="str">
        <f aca="false">Показатели!A3&amp;" ЭТ"</f>
        <v>культиватор 0.08×4.5 ЭТ</v>
      </c>
      <c r="B4" s="25" t="n">
        <f aca="false">Показатели!D3</f>
        <v>83.7304742003256</v>
      </c>
      <c r="C4" s="25" t="n">
        <f aca="false">Показатели!E3</f>
        <v>209.326185500814</v>
      </c>
      <c r="D4" s="25" t="n">
        <f aca="false">Показатели!F3</f>
        <v>0.264583490346306</v>
      </c>
      <c r="E4" s="25" t="n">
        <f aca="false">Показатели!G3</f>
        <v>11.4233482719693</v>
      </c>
      <c r="F4" s="25" t="n">
        <f aca="false">Показатели!H3</f>
        <v>41.5668833818481</v>
      </c>
      <c r="G4" s="25" t="n">
        <f aca="false">Показатели!I3</f>
        <v>7275.04417602259</v>
      </c>
      <c r="H4" s="25" t="n">
        <f aca="false">Показатели!J3</f>
        <v>10782.9675069878</v>
      </c>
      <c r="I4" s="25" t="n">
        <f aca="false">Показатели!K3</f>
        <v>14.0946298237215</v>
      </c>
      <c r="J4" s="25" t="n">
        <f aca="false">Показатели!L3</f>
        <v>0</v>
      </c>
      <c r="K4" s="25" t="n">
        <f aca="false">Показатели!M3</f>
        <v>0.249366970666296</v>
      </c>
      <c r="L4" s="26" t="b">
        <f aca="false">Показатели!B3</f>
        <v>1</v>
      </c>
      <c r="N4" s="15" t="n">
        <f aca="false">IF($L4,IF(B$37&gt;B$36,(B4-B$36)/(B$37-B$36),0)+0.000001,0)</f>
        <v>0.00779171340878146</v>
      </c>
      <c r="O4" s="15" t="n">
        <f aca="false">IF($L4,IF(C$37&gt;C$36,(C4-C$36)/(C$37-C$36),0)+0.000001,0)</f>
        <v>0.0201617163954243</v>
      </c>
      <c r="P4" s="15" t="n">
        <f aca="false">IF($L4,IF(D$37&gt;D$36,(D4-D$36)/(D$37-D$36),0)+0.000001,0)</f>
        <v>1E-006</v>
      </c>
      <c r="Q4" s="15" t="n">
        <f aca="false">IF($L4,IF(E$37&gt;E$36,(E4-E$36)/(E$37-E$36),0)+0.000001,0)</f>
        <v>0.502523781990701</v>
      </c>
      <c r="R4" s="15" t="n">
        <f aca="false">IF($L4,IF(F$37&gt;F$36,(F4-F$36)/(F$37-F$36),0)+0.000001,0)</f>
        <v>0.693876880661754</v>
      </c>
      <c r="S4" s="15" t="n">
        <f aca="false">IF($L4,IF(G$37&gt;G$36,(G4-G$36)/(G$37-G$36),0)+0.000001,0)</f>
        <v>0.0713262155709802</v>
      </c>
      <c r="T4" s="15" t="n">
        <f aca="false">IF($L4,IF(H$37&gt;H$36,(H4-H$36)/(H$37-H$36),0)+0.000001,0)</f>
        <v>0.152863506991157</v>
      </c>
      <c r="U4" s="15" t="n">
        <f aca="false">IF($L4,IF(I$37&gt;I$36,(I4-I$36)/(I$37-I$36),0)+0.000001,0)</f>
        <v>0.0211912670990621</v>
      </c>
      <c r="V4" s="15" t="n">
        <f aca="false">IF($L4,IF(J$37&gt;J$36,(J4-J$36)/(J$37-J$36),0)+0.000001,0)</f>
        <v>1E-006</v>
      </c>
      <c r="W4" s="15" t="n">
        <f aca="false">IF($L4,IF(K$37&gt;K$36,(K4-K$36)/(K$37-K$36),0)+0.000001,0)</f>
        <v>0.116480843983517</v>
      </c>
      <c r="Y4" s="15" t="n">
        <f aca="false">IF($L4,N4/N$38*LN(N4/N$38),0)</f>
        <v>-0.00676466069137312</v>
      </c>
      <c r="Z4" s="15" t="n">
        <f aca="false">IF($L4,O4/O$38*LN(O4/O$38),0)</f>
        <v>-0.0139823183124207</v>
      </c>
      <c r="AA4" s="15" t="n">
        <f aca="false">IF($L4,P4/P$38*LN(P4/P$38),0)</f>
        <v>-1.25239722592287E-006</v>
      </c>
      <c r="AB4" s="15" t="n">
        <f aca="false">IF($L4,Q4/Q$38*LN(Q4/Q$38),0)</f>
        <v>-0.167844798408167</v>
      </c>
      <c r="AC4" s="15" t="n">
        <f aca="false">IF($L4,R4/R$38*LN(R4/R$38),0)</f>
        <v>-0.145013113200226</v>
      </c>
      <c r="AD4" s="15" t="n">
        <f aca="false">IF($L4,S4/S$38*LN(S4/S$38),0)</f>
        <v>-0.0368727659659165</v>
      </c>
      <c r="AE4" s="15" t="n">
        <f aca="false">IF($L4,T4/T$38*LN(T4/T$38),0)</f>
        <v>-0.0657501994225311</v>
      </c>
      <c r="AF4" s="15" t="n">
        <f aca="false">IF($L4,U4/U$38*LN(U4/U$38),0)</f>
        <v>-0.0144870376682535</v>
      </c>
      <c r="AG4" s="15" t="n">
        <f aca="false">IF($L4,V4/V$38*LN(V4/V$38),0)</f>
        <v>-2.11138376284076E-006</v>
      </c>
      <c r="AH4" s="15" t="n">
        <f aca="false">IF($L4,W4/W$38*LN(W4/W$38),0)</f>
        <v>-0.0453875601412606</v>
      </c>
    </row>
    <row r="5" customFormat="false" ht="15" hidden="false" customHeight="false" outlineLevel="0" collapsed="false">
      <c r="A5" s="17" t="str">
        <f aca="false">Показатели!A3&amp;" Д"</f>
        <v>культиватор 0.08×4.5 Д</v>
      </c>
      <c r="B5" s="25" t="n">
        <f aca="false">Показатели!N3</f>
        <v>248.500846434922</v>
      </c>
      <c r="C5" s="25" t="n">
        <f aca="false">Показатели!O3</f>
        <v>285.77597340016</v>
      </c>
      <c r="D5" s="25" t="n">
        <f aca="false">Показатели!P3</f>
        <v>1</v>
      </c>
      <c r="E5" s="25" t="n">
        <f aca="false">Показатели!Q3</f>
        <v>12.5304749205275</v>
      </c>
      <c r="F5" s="25" t="n">
        <f aca="false">Показатели!R3</f>
        <v>47.3027227543737</v>
      </c>
      <c r="G5" s="25" t="n">
        <f aca="false">Показатели!S3</f>
        <v>8093.75243187392</v>
      </c>
      <c r="H5" s="25" t="n">
        <f aca="false">Показатели!T3</f>
        <v>9425.70828310507</v>
      </c>
      <c r="I5" s="25" t="n">
        <f aca="false">Показатели!U3</f>
        <v>18.5510381182616</v>
      </c>
      <c r="J5" s="25" t="n">
        <f aca="false">Показатели!V3</f>
        <v>18.5510381182616</v>
      </c>
      <c r="K5" s="25" t="n">
        <f aca="false">Показатели!W3</f>
        <v>0.938476952129669</v>
      </c>
      <c r="L5" s="26" t="b">
        <f aca="false">Показатели!B3</f>
        <v>1</v>
      </c>
      <c r="N5" s="15" t="n">
        <f aca="false">IF($L5,IF(B$37&gt;B$36,(B5-B$36)/(B$37-B$36),0)+0.000001,0)</f>
        <v>0.291224942594239</v>
      </c>
      <c r="O5" s="15" t="n">
        <f aca="false">IF($L5,IF(C$37&gt;C$36,(C5-C$36)/(C$37-C$36),0)+0.000001,0)</f>
        <v>0.156286326841282</v>
      </c>
      <c r="P5" s="15" t="n">
        <f aca="false">IF($L5,IF(D$37&gt;D$36,(D5-D$36)/(D$37-D$36),0)+0.000001,0)</f>
        <v>1.000001</v>
      </c>
      <c r="Q5" s="15" t="n">
        <f aca="false">IF($L5,IF(E$37&gt;E$36,(E5-E$36)/(E$37-E$36),0)+0.000001,0)</f>
        <v>0.592872127357949</v>
      </c>
      <c r="R5" s="15" t="n">
        <f aca="false">IF($L5,IF(F$37&gt;F$36,(F5-F$36)/(F$37-F$36),0)+0.000001,0)</f>
        <v>0.79609047254827</v>
      </c>
      <c r="S5" s="15" t="n">
        <f aca="false">IF($L5,IF(G$37&gt;G$36,(G5-G$36)/(G$37-G$36),0)+0.000001,0)</f>
        <v>0.135784306199678</v>
      </c>
      <c r="T5" s="15" t="n">
        <f aca="false">IF($L5,IF(H$37&gt;H$36,(H5-H$36)/(H$37-H$36),0)+0.000001,0)</f>
        <v>0.071087232170707</v>
      </c>
      <c r="U5" s="15" t="n">
        <f aca="false">IF($L5,IF(I$37&gt;I$36,(I5-I$36)/(I$37-I$36),0)+0.000001,0)</f>
        <v>0.145055436521662</v>
      </c>
      <c r="V5" s="15" t="n">
        <f aca="false">IF($L5,IF(J$37&gt;J$36,(J5-J$36)/(J$37-J$36),0)+0.000001,0)</f>
        <v>0.376210215778419</v>
      </c>
      <c r="W5" s="15" t="n">
        <f aca="false">IF($L5,IF(K$37&gt;K$36,(K5-K$36)/(K$37-K$36),0)+0.000001,0)</f>
        <v>0.927586317020683</v>
      </c>
      <c r="Y5" s="15" t="n">
        <f aca="false">IF($L5,N5/N$38*LN(N5/N$38),0)</f>
        <v>-0.120768303050431</v>
      </c>
      <c r="Z5" s="15" t="n">
        <f aca="false">IF($L5,O5/O$38*LN(O5/O$38),0)</f>
        <v>-0.0718424404936275</v>
      </c>
      <c r="AA5" s="15" t="n">
        <f aca="false">IF($L5,P5/P$38*LN(P5/P$38),0)</f>
        <v>-0.196525298562203</v>
      </c>
      <c r="AB5" s="15" t="n">
        <f aca="false">IF($L5,Q5/Q$38*LN(Q5/Q$38),0)</f>
        <v>-0.186420793836265</v>
      </c>
      <c r="AC5" s="15" t="n">
        <f aca="false">IF($L5,R5/R$38*LN(R5/R$38),0)</f>
        <v>-0.158864262964536</v>
      </c>
      <c r="AD5" s="15" t="n">
        <f aca="false">IF($L5,S5/S$38*LN(S5/S$38),0)</f>
        <v>-0.0609473089805668</v>
      </c>
      <c r="AE5" s="15" t="n">
        <f aca="false">IF($L5,T5/T$38*LN(T5/T$38),0)</f>
        <v>-0.0362263153393263</v>
      </c>
      <c r="AF5" s="15" t="n">
        <f aca="false">IF($L5,U5/U$38*LN(U5/U$38),0)</f>
        <v>-0.0675396504645316</v>
      </c>
      <c r="AG5" s="15" t="n">
        <f aca="false">IF($L5,V5/V$38*LN(V5/V$38),0)</f>
        <v>-0.150141845063584</v>
      </c>
      <c r="AH5" s="15" t="n">
        <f aca="false">IF($L5,W5/W$38*LN(W5/W$38),0)</f>
        <v>-0.199246623782549</v>
      </c>
    </row>
    <row r="6" customFormat="false" ht="15" hidden="false" customHeight="false" outlineLevel="0" collapsed="false">
      <c r="A6" s="17" t="str">
        <f aca="false">Показатели!A4&amp;" ЭТ"</f>
        <v>культиватор 0.08×5.4 ЭТ</v>
      </c>
      <c r="B6" s="25" t="n">
        <f aca="false">Показатели!D4</f>
        <v>84.3103392984954</v>
      </c>
      <c r="C6" s="25" t="n">
        <f aca="false">Показатели!E4</f>
        <v>210.775848246238</v>
      </c>
      <c r="D6" s="25" t="n">
        <f aca="false">Показатели!F4</f>
        <v>0.265184359125322</v>
      </c>
      <c r="E6" s="25" t="n">
        <f aca="false">Показатели!G4</f>
        <v>11.6917080898809</v>
      </c>
      <c r="F6" s="25" t="n">
        <f aca="false">Показатели!H4</f>
        <v>28.2823942139624</v>
      </c>
      <c r="G6" s="25" t="n">
        <f aca="false">Показатели!I4</f>
        <v>6369.11379135279</v>
      </c>
      <c r="H6" s="25" t="n">
        <f aca="false">Показатели!J4</f>
        <v>9361.53371945604</v>
      </c>
      <c r="I6" s="25" t="n">
        <f aca="false">Показатели!K4</f>
        <v>14.1922404485801</v>
      </c>
      <c r="J6" s="25" t="n">
        <f aca="false">Показатели!L4</f>
        <v>0</v>
      </c>
      <c r="K6" s="25" t="n">
        <f aca="false">Показатели!M4</f>
        <v>0.20864120145626</v>
      </c>
      <c r="L6" s="26" t="b">
        <f aca="false">Показатели!B4</f>
        <v>1</v>
      </c>
      <c r="N6" s="15" t="n">
        <f aca="false">IF($L6,IF(B$37&gt;B$36,(B6-B$36)/(B$37-B$36),0)+0.000001,0)</f>
        <v>0.00878918058104838</v>
      </c>
      <c r="O6" s="15" t="n">
        <f aca="false">IF($L6,IF(C$37&gt;C$36,(C6-C$36)/(C$37-C$36),0)+0.000001,0)</f>
        <v>0.0227429501950341</v>
      </c>
      <c r="P6" s="15" t="n">
        <f aca="false">IF($L6,IF(D$37&gt;D$36,(D6-D$36)/(D$37-D$36),0)+0.000001,0)</f>
        <v>0.000818045539675723</v>
      </c>
      <c r="Q6" s="15" t="n">
        <f aca="false">IF($L6,IF(E$37&gt;E$36,(E6-E$36)/(E$37-E$36),0)+0.000001,0)</f>
        <v>0.524423594033837</v>
      </c>
      <c r="R6" s="15" t="n">
        <f aca="false">IF($L6,IF(F$37&gt;F$36,(F6-F$36)/(F$37-F$36),0)+0.000001,0)</f>
        <v>0.457145119878634</v>
      </c>
      <c r="S6" s="15" t="n">
        <f aca="false">IF($L6,IF(G$37&gt;G$36,(G6-G$36)/(G$37-G$36),0)+0.000001,0)</f>
        <v>1E-006</v>
      </c>
      <c r="T6" s="15" t="n">
        <f aca="false">IF($L6,IF(H$37&gt;H$36,(H6-H$36)/(H$37-H$36),0)+0.000001,0)</f>
        <v>0.0672206482042097</v>
      </c>
      <c r="U6" s="15" t="n">
        <f aca="false">IF($L6,IF(I$37&gt;I$36,(I6-I$36)/(I$37-I$36),0)+0.000001,0)</f>
        <v>0.0239043172003605</v>
      </c>
      <c r="V6" s="15" t="n">
        <f aca="false">IF($L6,IF(J$37&gt;J$36,(J6-J$36)/(J$37-J$36),0)+0.000001,0)</f>
        <v>1E-006</v>
      </c>
      <c r="W6" s="15" t="n">
        <f aca="false">IF($L6,IF(K$37&gt;K$36,(K6-K$36)/(K$37-K$36),0)+0.000001,0)</f>
        <v>0.068545252875462</v>
      </c>
      <c r="Y6" s="15" t="n">
        <f aca="false">IF($L6,N6/N$38*LN(N6/N$38),0)</f>
        <v>-0.00749805109703894</v>
      </c>
      <c r="Z6" s="15" t="n">
        <f aca="false">IF($L6,O6/O$38*LN(O6/O$38),0)</f>
        <v>-0.0154595992813028</v>
      </c>
      <c r="AA6" s="15" t="n">
        <f aca="false">IF($L6,P6/P$38*LN(P6/P$38),0)</f>
        <v>-0.000605198684208922</v>
      </c>
      <c r="AB6" s="15" t="n">
        <f aca="false">IF($L6,Q6/Q$38*LN(Q6/Q$38),0)</f>
        <v>-0.172511976934715</v>
      </c>
      <c r="AC6" s="15" t="n">
        <f aca="false">IF($L6,R6/R$38*LN(R6/R$38),0)</f>
        <v>-0.108635080887586</v>
      </c>
      <c r="AD6" s="15" t="n">
        <f aca="false">IF($L6,S6/S$38*LN(S6/S$38),0)</f>
        <v>-1.69912436870229E-006</v>
      </c>
      <c r="AE6" s="15" t="n">
        <f aca="false">IF($L6,T6/T$38*LN(T6/T$38),0)</f>
        <v>-0.0346461566154578</v>
      </c>
      <c r="AF6" s="15" t="n">
        <f aca="false">IF($L6,U6/U$38*LN(U6/U$38),0)</f>
        <v>-0.0160153649312014</v>
      </c>
      <c r="AG6" s="15" t="n">
        <f aca="false">IF($L6,V6/V$38*LN(V6/V$38),0)</f>
        <v>-2.11138376284076E-006</v>
      </c>
      <c r="AH6" s="15" t="n">
        <f aca="false">IF($L6,W6/W$38*LN(W6/W$38),0)</f>
        <v>-0.0297720439364074</v>
      </c>
    </row>
    <row r="7" customFormat="false" ht="15" hidden="false" customHeight="false" outlineLevel="0" collapsed="false">
      <c r="A7" s="17" t="str">
        <f aca="false">Показатели!A4&amp;" Д"</f>
        <v>культиватор 0.08×5.4 Д</v>
      </c>
      <c r="B7" s="25" t="n">
        <f aca="false">Показатели!N4</f>
        <v>233.327666491738</v>
      </c>
      <c r="C7" s="25" t="n">
        <f aca="false">Показатели!O4</f>
        <v>268.326816465499</v>
      </c>
      <c r="D7" s="25" t="n">
        <f aca="false">Показатели!P4</f>
        <v>1</v>
      </c>
      <c r="E7" s="25" t="n">
        <f aca="false">Показатели!Q4</f>
        <v>12.8700721161133</v>
      </c>
      <c r="F7" s="25" t="n">
        <f aca="false">Показатели!R4</f>
        <v>35.1987912123686</v>
      </c>
      <c r="G7" s="25" t="n">
        <f aca="false">Показатели!S4</f>
        <v>7109.65450440559</v>
      </c>
      <c r="H7" s="25" t="n">
        <f aca="false">Показатели!T4</f>
        <v>8245.8741011666</v>
      </c>
      <c r="I7" s="25" t="n">
        <f aca="false">Показатели!U4</f>
        <v>17.4183327631716</v>
      </c>
      <c r="J7" s="25" t="n">
        <f aca="false">Показатели!V4</f>
        <v>17.4183327631716</v>
      </c>
      <c r="K7" s="25" t="n">
        <f aca="false">Показатели!W4</f>
        <v>0.853435265728955</v>
      </c>
      <c r="L7" s="26" t="b">
        <f aca="false">Показатели!B4</f>
        <v>1</v>
      </c>
      <c r="N7" s="15" t="n">
        <f aca="false">IF($L7,IF(B$37&gt;B$36,(B7-B$36)/(B$37-B$36),0)+0.000001,0)</f>
        <v>0.265124477261883</v>
      </c>
      <c r="O7" s="15" t="n">
        <f aca="false">IF($L7,IF(C$37&gt;C$36,(C7-C$36)/(C$37-C$36),0)+0.000001,0)</f>
        <v>0.125216787531813</v>
      </c>
      <c r="P7" s="15" t="n">
        <f aca="false">IF($L7,IF(D$37&gt;D$36,(D7-D$36)/(D$37-D$36),0)+0.000001,0)</f>
        <v>1.000001</v>
      </c>
      <c r="Q7" s="15" t="n">
        <f aca="false">IF($L7,IF(E$37&gt;E$36,(E7-E$36)/(E$37-E$36),0)+0.000001,0)</f>
        <v>0.620585347658887</v>
      </c>
      <c r="R7" s="15" t="n">
        <f aca="false">IF($L7,IF(F$37&gt;F$36,(F7-F$36)/(F$37-F$36),0)+0.000001,0)</f>
        <v>0.580396440950573</v>
      </c>
      <c r="S7" s="15" t="n">
        <f aca="false">IF($L7,IF(G$37&gt;G$36,(G7-G$36)/(G$37-G$36),0)+0.000001,0)</f>
        <v>0.0583048464007696</v>
      </c>
      <c r="T7" s="15" t="n">
        <f aca="false">IF($L7,IF(H$37&gt;H$36,(H7-H$36)/(H$37-H$36),0)+0.000001,0)</f>
        <v>1E-006</v>
      </c>
      <c r="U7" s="15" t="n">
        <f aca="false">IF($L7,IF(I$37&gt;I$36,(I7-I$36)/(I$37-I$36),0)+0.000001,0)</f>
        <v>0.113572323050967</v>
      </c>
      <c r="V7" s="15" t="n">
        <f aca="false">IF($L7,IF(J$37&gt;J$36,(J7-J$36)/(J$37-J$36),0)+0.000001,0)</f>
        <v>0.353239307593667</v>
      </c>
      <c r="W7" s="15" t="n">
        <f aca="false">IF($L7,IF(K$37&gt;K$36,(K7-K$36)/(K$37-K$36),0)+0.000001,0)</f>
        <v>0.827489410675704</v>
      </c>
      <c r="Y7" s="15" t="n">
        <f aca="false">IF($L7,N7/N$38*LN(N7/N$38),0)</f>
        <v>-0.113062419784449</v>
      </c>
      <c r="Z7" s="15" t="n">
        <f aca="false">IF($L7,O7/O$38*LN(O7/O$38),0)</f>
        <v>-0.0607290534793604</v>
      </c>
      <c r="AA7" s="15" t="n">
        <f aca="false">IF($L7,P7/P$38*LN(P7/P$38),0)</f>
        <v>-0.196525298562203</v>
      </c>
      <c r="AB7" s="15" t="n">
        <f aca="false">IF($L7,Q7/Q$38*LN(Q7/Q$38),0)</f>
        <v>-0.191779596286838</v>
      </c>
      <c r="AC7" s="15" t="n">
        <f aca="false">IF($L7,R7/R$38*LN(R7/R$38),0)</f>
        <v>-0.128412666511668</v>
      </c>
      <c r="AD7" s="15" t="n">
        <f aca="false">IF($L7,S7/S$38*LN(S7/S$38),0)</f>
        <v>-0.0313845543253548</v>
      </c>
      <c r="AE7" s="15" t="n">
        <f aca="false">IF($L7,T7/T$38*LN(T7/T$38),0)</f>
        <v>-1.66932312748584E-006</v>
      </c>
      <c r="AF7" s="15" t="n">
        <f aca="false">IF($L7,U7/U$38*LN(U7/U$38),0)</f>
        <v>-0.0560303597556837</v>
      </c>
      <c r="AG7" s="15" t="n">
        <f aca="false">IF($L7,V7/V$38*LN(V7/V$38),0)</f>
        <v>-0.143942691367025</v>
      </c>
      <c r="AH7" s="15" t="n">
        <f aca="false">IF($L7,W7/W$38*LN(W7/W$38),0)</f>
        <v>-0.185708751107438</v>
      </c>
    </row>
    <row r="8" customFormat="false" ht="15" hidden="false" customHeight="false" outlineLevel="0" collapsed="false">
      <c r="A8" s="17" t="str">
        <f aca="false">Показатели!A5&amp;" ЭТ"</f>
        <v>культиватор 0.11×3.6 ЭТ</v>
      </c>
      <c r="B8" s="25" t="n">
        <f aca="false">Показатели!D5</f>
        <v>104.522611801164</v>
      </c>
      <c r="C8" s="25" t="n">
        <f aca="false">Показатели!E5</f>
        <v>261.30652950291</v>
      </c>
      <c r="D8" s="25" t="n">
        <f aca="false">Показатели!F5</f>
        <v>0.26471352526879</v>
      </c>
      <c r="E8" s="25" t="n">
        <f aca="false">Показатели!G5</f>
        <v>14.2805080846827</v>
      </c>
      <c r="F8" s="25" t="n">
        <f aca="false">Показатели!H5</f>
        <v>41.0273444264469</v>
      </c>
      <c r="G8" s="25" t="n">
        <f aca="false">Показатели!I5</f>
        <v>8908.26409412744</v>
      </c>
      <c r="H8" s="25" t="n">
        <f aca="false">Показатели!J5</f>
        <v>13189.4425293856</v>
      </c>
      <c r="I8" s="25" t="n">
        <f aca="false">Показатели!K5</f>
        <v>17.5946396531959</v>
      </c>
      <c r="J8" s="25" t="n">
        <f aca="false">Показатели!L5</f>
        <v>0</v>
      </c>
      <c r="K8" s="25" t="n">
        <f aca="false">Показатели!M5</f>
        <v>0.243386993885857</v>
      </c>
      <c r="L8" s="26" t="b">
        <f aca="false">Показатели!B5</f>
        <v>1</v>
      </c>
      <c r="N8" s="15" t="n">
        <f aca="false">IF($L8,IF(B$37&gt;B$36,(B8-B$36)/(B$37-B$36),0)+0.000001,0)</f>
        <v>0.0435577472044897</v>
      </c>
      <c r="O8" s="15" t="n">
        <f aca="false">IF($L8,IF(C$37&gt;C$36,(C8-C$36)/(C$37-C$36),0)+0.000001,0)</f>
        <v>0.112716637377586</v>
      </c>
      <c r="P8" s="15" t="n">
        <f aca="false">IF($L8,IF(D$37&gt;D$36,(D8-D$36)/(D$37-D$36),0)+0.000001,0)</f>
        <v>0.000177818062659169</v>
      </c>
      <c r="Q8" s="15" t="n">
        <f aca="false">IF($L8,IF(E$37&gt;E$36,(E8-E$36)/(E$37-E$36),0)+0.000001,0)</f>
        <v>0.735685599443663</v>
      </c>
      <c r="R8" s="15" t="n">
        <f aca="false">IF($L8,IF(F$37&gt;F$36,(F8-F$36)/(F$37-F$36),0)+0.000001,0)</f>
        <v>0.684262208595027</v>
      </c>
      <c r="S8" s="15" t="n">
        <f aca="false">IF($L8,IF(G$37&gt;G$36,(G8-G$36)/(G$37-G$36),0)+0.000001,0)</f>
        <v>0.199911992916451</v>
      </c>
      <c r="T8" s="15" t="n">
        <f aca="false">IF($L8,IF(H$37&gt;H$36,(H8-H$36)/(H$37-H$36),0)+0.000001,0)</f>
        <v>0.297856121016046</v>
      </c>
      <c r="U8" s="15" t="n">
        <f aca="false">IF($L8,IF(I$37&gt;I$36,(I8-I$36)/(I$37-I$36),0)+0.000001,0)</f>
        <v>0.118472705837505</v>
      </c>
      <c r="V8" s="15" t="n">
        <f aca="false">IF($L8,IF(J$37&gt;J$36,(J8-J$36)/(J$37-J$36),0)+0.000001,0)</f>
        <v>1E-006</v>
      </c>
      <c r="W8" s="15" t="n">
        <f aca="false">IF($L8,IF(K$37&gt;K$36,(K8-K$36)/(K$37-K$36),0)+0.000001,0)</f>
        <v>0.109442211507249</v>
      </c>
      <c r="Y8" s="15" t="n">
        <f aca="false">IF($L8,N8/N$38*LN(N8/N$38),0)</f>
        <v>-0.0284278080955995</v>
      </c>
      <c r="Z8" s="15" t="n">
        <f aca="false">IF($L8,O8/O$38*LN(O8/O$38),0)</f>
        <v>-0.0560200838861542</v>
      </c>
      <c r="AA8" s="15" t="n">
        <f aca="false">IF($L8,P8/P$38*LN(P8/P$38),0)</f>
        <v>-0.000152292182629641</v>
      </c>
      <c r="AB8" s="15" t="n">
        <f aca="false">IF($L8,Q8/Q$38*LN(Q8/Q$38),0)</f>
        <v>-0.212535681432979</v>
      </c>
      <c r="AC8" s="15" t="n">
        <f aca="false">IF($L8,R8/R$38*LN(R8/R$38),0)</f>
        <v>-0.14365922555881</v>
      </c>
      <c r="AD8" s="15" t="n">
        <f aca="false">IF($L8,S8/S$38*LN(S8/S$38),0)</f>
        <v>-0.0815510319735555</v>
      </c>
      <c r="AE8" s="15" t="n">
        <f aca="false">IF($L8,T8/T$38*LN(T8/T$38),0)</f>
        <v>-0.107489185580467</v>
      </c>
      <c r="AF8" s="15" t="n">
        <f aca="false">IF($L8,U8/U$38*LN(U8/U$38),0)</f>
        <v>-0.0578806982484587</v>
      </c>
      <c r="AG8" s="15" t="n">
        <f aca="false">IF($L8,V8/V$38*LN(V8/V$38),0)</f>
        <v>-2.11138376284076E-006</v>
      </c>
      <c r="AH8" s="15" t="n">
        <f aca="false">IF($L8,W8/W$38*LN(W8/W$38),0)</f>
        <v>-0.0432197849275361</v>
      </c>
    </row>
    <row r="9" customFormat="false" ht="15" hidden="false" customHeight="false" outlineLevel="0" collapsed="false">
      <c r="A9" s="17" t="str">
        <f aca="false">Показатели!A5&amp;" Д"</f>
        <v>культиватор 0.11×3.6 Д</v>
      </c>
      <c r="B9" s="25" t="n">
        <f aca="false">Показатели!N5</f>
        <v>309.898615720455</v>
      </c>
      <c r="C9" s="25" t="n">
        <f aca="false">Показатели!O5</f>
        <v>356.383408078523</v>
      </c>
      <c r="D9" s="25" t="n">
        <f aca="false">Показатели!P5</f>
        <v>1</v>
      </c>
      <c r="E9" s="25" t="n">
        <f aca="false">Показатели!Q5</f>
        <v>16.2755970475233</v>
      </c>
      <c r="F9" s="25" t="n">
        <f aca="false">Показатели!R5</f>
        <v>45.8216017964411</v>
      </c>
      <c r="G9" s="25" t="n">
        <f aca="false">Показатели!S5</f>
        <v>9941.54681329291</v>
      </c>
      <c r="H9" s="25" t="n">
        <f aca="false">Показатели!T5</f>
        <v>11567.1070462293</v>
      </c>
      <c r="I9" s="25" t="n">
        <f aca="false">Показатели!U5</f>
        <v>23.1344927613042</v>
      </c>
      <c r="J9" s="25" t="n">
        <f aca="false">Показатели!V5</f>
        <v>23.1344927613042</v>
      </c>
      <c r="K9" s="25" t="n">
        <f aca="false">Показатели!W5</f>
        <v>0.91859644385081</v>
      </c>
      <c r="L9" s="26" t="b">
        <f aca="false">Показатели!B5</f>
        <v>1</v>
      </c>
      <c r="N9" s="15" t="n">
        <f aca="false">IF($L9,IF(B$37&gt;B$36,(B9-B$36)/(B$37-B$36),0)+0.000001,0)</f>
        <v>0.396839609705664</v>
      </c>
      <c r="O9" s="15" t="n">
        <f aca="false">IF($L9,IF(C$37&gt;C$36,(C9-C$36)/(C$37-C$36),0)+0.000001,0)</f>
        <v>0.282008186957206</v>
      </c>
      <c r="P9" s="15" t="n">
        <f aca="false">IF($L9,IF(D$37&gt;D$36,(D9-D$36)/(D$37-D$36),0)+0.000001,0)</f>
        <v>1.000001</v>
      </c>
      <c r="Q9" s="15" t="n">
        <f aca="false">IF($L9,IF(E$37&gt;E$36,(E9-E$36)/(E$37-E$36),0)+0.000001,0)</f>
        <v>0.898497132241503</v>
      </c>
      <c r="R9" s="15" t="n">
        <f aca="false">IF($L9,IF(F$37&gt;F$36,(F9-F$36)/(F$37-F$36),0)+0.000001,0)</f>
        <v>0.769696655829161</v>
      </c>
      <c r="S9" s="15" t="n">
        <f aca="false">IF($L9,IF(G$37&gt;G$36,(G9-G$36)/(G$37-G$36),0)+0.000001,0)</f>
        <v>0.281263842834927</v>
      </c>
      <c r="T9" s="15" t="n">
        <f aca="false">IF($L9,IF(H$37&gt;H$36,(H9-H$36)/(H$37-H$36),0)+0.000001,0)</f>
        <v>0.200108726865332</v>
      </c>
      <c r="U9" s="15" t="n">
        <f aca="false">IF($L9,IF(I$37&gt;I$36,(I9-I$36)/(I$37-I$36),0)+0.000001,0)</f>
        <v>0.272450810761092</v>
      </c>
      <c r="V9" s="15" t="n">
        <f aca="false">IF($L9,IF(J$37&gt;J$36,(J9-J$36)/(J$37-J$36),0)+0.000001,0)</f>
        <v>0.469161233711889</v>
      </c>
      <c r="W9" s="15" t="n">
        <f aca="false">IF($L9,IF(K$37&gt;K$36,(K9-K$36)/(K$37-K$36),0)+0.000001,0)</f>
        <v>0.90418629451992</v>
      </c>
      <c r="Y9" s="15" t="n">
        <f aca="false">IF($L9,N9/N$38*LN(N9/N$38),0)</f>
        <v>-0.14918678494699</v>
      </c>
      <c r="Z9" s="15" t="n">
        <f aca="false">IF($L9,O9/O$38*LN(O9/O$38),0)</f>
        <v>-0.110629606416503</v>
      </c>
      <c r="AA9" s="15" t="n">
        <f aca="false">IF($L9,P9/P$38*LN(P9/P$38),0)</f>
        <v>-0.196525298562203</v>
      </c>
      <c r="AB9" s="15" t="n">
        <f aca="false">IF($L9,Q9/Q$38*LN(Q9/Q$38),0)</f>
        <v>-0.238312692813246</v>
      </c>
      <c r="AC9" s="15" t="n">
        <f aca="false">IF($L9,R9/R$38*LN(R9/R$38),0)</f>
        <v>-0.155378864374584</v>
      </c>
      <c r="AD9" s="15" t="n">
        <f aca="false">IF($L9,S9/S$38*LN(S9/S$38),0)</f>
        <v>-0.104578821372608</v>
      </c>
      <c r="AE9" s="15" t="n">
        <f aca="false">IF($L9,T9/T$38*LN(T9/T$38),0)</f>
        <v>-0.0804769683203939</v>
      </c>
      <c r="AF9" s="15" t="n">
        <f aca="false">IF($L9,U9/U$38*LN(U9/U$38),0)</f>
        <v>-0.107391210328319</v>
      </c>
      <c r="AG9" s="15" t="n">
        <f aca="false">IF($L9,V9/V$38*LN(V9/V$38),0)</f>
        <v>-0.173421062369762</v>
      </c>
      <c r="AH9" s="15" t="n">
        <f aca="false">IF($L9,W9/W$38*LN(W9/W$38),0)</f>
        <v>-0.196167188649925</v>
      </c>
    </row>
    <row r="10" customFormat="false" ht="15" hidden="false" customHeight="false" outlineLevel="0" collapsed="false">
      <c r="A10" s="17" t="str">
        <f aca="false">Показатели!A6&amp;" ЭТ"</f>
        <v>культиватор 0.11×4.5 ЭТ</v>
      </c>
      <c r="B10" s="25" t="n">
        <f aca="false">Показатели!D6</f>
        <v>104.919642512105</v>
      </c>
      <c r="C10" s="25" t="n">
        <f aca="false">Показатели!E6</f>
        <v>262.299106280263</v>
      </c>
      <c r="D10" s="25" t="n">
        <f aca="false">Показатели!F6</f>
        <v>0.265497382082398</v>
      </c>
      <c r="E10" s="25" t="n">
        <f aca="false">Показатели!G6</f>
        <v>14.6744112263426</v>
      </c>
      <c r="F10" s="25" t="n">
        <f aca="false">Показатели!H6</f>
        <v>24.6639811655694</v>
      </c>
      <c r="G10" s="25" t="n">
        <f aca="false">Показатели!I6</f>
        <v>7543.38144917093</v>
      </c>
      <c r="H10" s="25" t="n">
        <f aca="false">Показатели!J6</f>
        <v>11051.3047801361</v>
      </c>
      <c r="I10" s="25" t="n">
        <f aca="false">Показатели!K6</f>
        <v>17.6614731562044</v>
      </c>
      <c r="J10" s="25" t="n">
        <f aca="false">Показатели!L6</f>
        <v>0</v>
      </c>
      <c r="K10" s="25" t="n">
        <f aca="false">Показатели!M6</f>
        <v>0.195851276245049</v>
      </c>
      <c r="L10" s="26" t="b">
        <f aca="false">Показатели!B6</f>
        <v>1</v>
      </c>
      <c r="N10" s="15" t="n">
        <f aca="false">IF($L10,IF(B$37&gt;B$36,(B10-B$36)/(B$37-B$36),0)+0.000001,0)</f>
        <v>0.0442407079513871</v>
      </c>
      <c r="O10" s="15" t="n">
        <f aca="false">IF($L10,IF(C$37&gt;C$36,(C10-C$36)/(C$37-C$36),0)+0.000001,0)</f>
        <v>0.114483995154075</v>
      </c>
      <c r="P10" s="15" t="n">
        <f aca="false">IF($L10,IF(D$37&gt;D$36,(D10-D$36)/(D$37-D$36),0)+0.000001,0)</f>
        <v>0.00124368591212683</v>
      </c>
      <c r="Q10" s="15" t="n">
        <f aca="false">IF($L10,IF(E$37&gt;E$36,(E10-E$36)/(E$37-E$36),0)+0.000001,0)</f>
        <v>0.767830519024701</v>
      </c>
      <c r="R10" s="15" t="n">
        <f aca="false">IF($L10,IF(F$37&gt;F$36,(F10-F$36)/(F$37-F$36),0)+0.000001,0)</f>
        <v>0.392664409979946</v>
      </c>
      <c r="S10" s="15" t="n">
        <f aca="false">IF($L10,IF(G$37&gt;G$36,(G10-G$36)/(G$37-G$36),0)+0.000001,0)</f>
        <v>0.0924527990004681</v>
      </c>
      <c r="T10" s="15" t="n">
        <f aca="false">IF($L10,IF(H$37&gt;H$36,(H10-H$36)/(H$37-H$36),0)+0.000001,0)</f>
        <v>0.169031105786894</v>
      </c>
      <c r="U10" s="15" t="n">
        <f aca="false">IF($L10,IF(I$37&gt;I$36,(I10-I$36)/(I$37-I$36),0)+0.000001,0)</f>
        <v>0.120330317571575</v>
      </c>
      <c r="V10" s="15" t="n">
        <f aca="false">IF($L10,IF(J$37&gt;J$36,(J10-J$36)/(J$37-J$36),0)+0.000001,0)</f>
        <v>1E-006</v>
      </c>
      <c r="W10" s="15" t="n">
        <f aca="false">IF($L10,IF(K$37&gt;K$36,(K10-K$36)/(K$37-K$36),0)+0.000001,0)</f>
        <v>0.0534910835590929</v>
      </c>
      <c r="Y10" s="15" t="n">
        <f aca="false">IF($L10,N10/N$38*LN(N10/N$38),0)</f>
        <v>-0.0287873394120996</v>
      </c>
      <c r="Z10" s="15" t="n">
        <f aca="false">IF($L10,O10/O$38*LN(O10/O$38),0)</f>
        <v>-0.0566950939272343</v>
      </c>
      <c r="AA10" s="15" t="n">
        <f aca="false">IF($L10,P10/P$38*LN(P10/P$38),0)</f>
        <v>-0.000880273595779453</v>
      </c>
      <c r="AB10" s="15" t="n">
        <f aca="false">IF($L10,Q10/Q$38*LN(Q10/Q$38),0)</f>
        <v>-0.21793601059738</v>
      </c>
      <c r="AC10" s="15" t="n">
        <f aca="false">IF($L10,R10/R$38*LN(R10/R$38),0)</f>
        <v>-0.0974107793776811</v>
      </c>
      <c r="AD10" s="15" t="n">
        <f aca="false">IF($L10,S10/S$38*LN(S10/S$38),0)</f>
        <v>-0.045257022836614</v>
      </c>
      <c r="AE10" s="15" t="n">
        <f aca="false">IF($L10,T10/T$38*LN(T10/T$38),0)</f>
        <v>-0.0709401407804079</v>
      </c>
      <c r="AF10" s="15" t="n">
        <f aca="false">IF($L10,U10/U$38*LN(U10/U$38),0)</f>
        <v>-0.0585760571073952</v>
      </c>
      <c r="AG10" s="15" t="n">
        <f aca="false">IF($L10,V10/V$38*LN(V10/V$38),0)</f>
        <v>-2.11138376284076E-006</v>
      </c>
      <c r="AH10" s="15" t="n">
        <f aca="false">IF($L10,W10/W$38*LN(W10/W$38),0)</f>
        <v>-0.0243512553074944</v>
      </c>
    </row>
    <row r="11" customFormat="false" ht="15" hidden="false" customHeight="false" outlineLevel="0" collapsed="false">
      <c r="A11" s="17" t="str">
        <f aca="false">Показатели!A6&amp;" Д"</f>
        <v>культиватор 0.11×4.5 Д</v>
      </c>
      <c r="B11" s="25" t="n">
        <f aca="false">Показатели!N6</f>
        <v>286.513394582876</v>
      </c>
      <c r="C11" s="25" t="n">
        <f aca="false">Показатели!O6</f>
        <v>329.490403770308</v>
      </c>
      <c r="D11" s="25" t="n">
        <f aca="false">Показатели!P6</f>
        <v>1</v>
      </c>
      <c r="E11" s="25" t="n">
        <f aca="false">Показатели!Q6</f>
        <v>16.8179511392717</v>
      </c>
      <c r="F11" s="25" t="n">
        <f aca="false">Показатели!R6</f>
        <v>30.5962996934535</v>
      </c>
      <c r="G11" s="25" t="n">
        <f aca="false">Показатели!S6</f>
        <v>8459.38438136833</v>
      </c>
      <c r="H11" s="25" t="n">
        <f aca="false">Показатели!T6</f>
        <v>9791.34023259948</v>
      </c>
      <c r="I11" s="25" t="n">
        <f aca="false">Показатели!U6</f>
        <v>21.3887436624543</v>
      </c>
      <c r="J11" s="25" t="n">
        <f aca="false">Показатели!V6</f>
        <v>21.3887436624543</v>
      </c>
      <c r="K11" s="25" t="n">
        <f aca="false">Показатели!W6</f>
        <v>0.815219147206105</v>
      </c>
      <c r="L11" s="26" t="b">
        <f aca="false">Показатели!B6</f>
        <v>1</v>
      </c>
      <c r="N11" s="15" t="n">
        <f aca="false">IF($L11,IF(B$37&gt;B$36,(B11-B$36)/(B$37-B$36),0)+0.000001,0)</f>
        <v>0.356613028601612</v>
      </c>
      <c r="O11" s="15" t="n">
        <f aca="false">IF($L11,IF(C$37&gt;C$36,(C11-C$36)/(C$37-C$36),0)+0.000001,0)</f>
        <v>0.234123165484099</v>
      </c>
      <c r="P11" s="15" t="n">
        <f aca="false">IF($L11,IF(D$37&gt;D$36,(D11-D$36)/(D$37-D$36),0)+0.000001,0)</f>
        <v>1.000001</v>
      </c>
      <c r="Q11" s="15" t="n">
        <f aca="false">IF($L11,IF(E$37&gt;E$36,(E11-E$36)/(E$37-E$36),0)+0.000001,0)</f>
        <v>0.942756562593426</v>
      </c>
      <c r="R11" s="15" t="n">
        <f aca="false">IF($L11,IF(F$37&gt;F$36,(F11-F$36)/(F$37-F$36),0)+0.000001,0)</f>
        <v>0.498379292417976</v>
      </c>
      <c r="S11" s="15" t="n">
        <f aca="false">IF($L11,IF(G$37&gt;G$36,(G11-G$36)/(G$37-G$36),0)+0.000001,0)</f>
        <v>0.164571040874476</v>
      </c>
      <c r="T11" s="15" t="n">
        <f aca="false">IF($L11,IF(H$37&gt;H$36,(H11-H$36)/(H$37-H$36),0)+0.000001,0)</f>
        <v>0.0931169360466228</v>
      </c>
      <c r="U11" s="15" t="n">
        <f aca="false">IF($L11,IF(I$37&gt;I$36,(I11-I$36)/(I$37-I$36),0)+0.000001,0)</f>
        <v>0.223928380171816</v>
      </c>
      <c r="V11" s="15" t="n">
        <f aca="false">IF($L11,IF(J$37&gt;J$36,(J11-J$36)/(J$37-J$36),0)+0.000001,0)</f>
        <v>0.43375799130371</v>
      </c>
      <c r="W11" s="15" t="n">
        <f aca="false">IF($L11,IF(K$37&gt;K$36,(K11-K$36)/(K$37-K$36),0)+0.000001,0)</f>
        <v>0.782507762280051</v>
      </c>
      <c r="Y11" s="15" t="n">
        <f aca="false">IF($L11,N11/N$38*LN(N11/N$38),0)</f>
        <v>-0.138837627059333</v>
      </c>
      <c r="Z11" s="15" t="n">
        <f aca="false">IF($L11,O11/O$38*LN(O11/O$38),0)</f>
        <v>-0.0968191161658749</v>
      </c>
      <c r="AA11" s="15" t="n">
        <f aca="false">IF($L11,P11/P$38*LN(P11/P$38),0)</f>
        <v>-0.196525298562203</v>
      </c>
      <c r="AB11" s="15" t="n">
        <f aca="false">IF($L11,Q11/Q$38*LN(Q11/Q$38),0)</f>
        <v>-0.244686938528915</v>
      </c>
      <c r="AC11" s="15" t="n">
        <f aca="false">IF($L11,R11/R$38*LN(R11/R$38),0)</f>
        <v>-0.11547905301987</v>
      </c>
      <c r="AD11" s="15" t="n">
        <f aca="false">IF($L11,S11/S$38*LN(S11/S$38),0)</f>
        <v>-0.0705209635073295</v>
      </c>
      <c r="AE11" s="15" t="n">
        <f aca="false">IF($L11,T11/T$38*LN(T11/T$38),0)</f>
        <v>-0.0448433108371235</v>
      </c>
      <c r="AF11" s="15" t="n">
        <f aca="false">IF($L11,U11/U$38*LN(U11/U$38),0)</f>
        <v>-0.0932432521303674</v>
      </c>
      <c r="AG11" s="15" t="n">
        <f aca="false">IF($L11,V11/V$38*LN(V11/V$38),0)</f>
        <v>-0.16487377565186</v>
      </c>
      <c r="AH11" s="15" t="n">
        <f aca="false">IF($L11,W11/W$38*LN(W11/W$38),0)</f>
        <v>-0.179299586672358</v>
      </c>
    </row>
    <row r="12" customFormat="false" ht="15" hidden="false" customHeight="false" outlineLevel="0" collapsed="false">
      <c r="A12" s="17" t="str">
        <f aca="false">Показатели!A7&amp;" ЭТ"</f>
        <v>культиватор 0.11×5.4 ЭТ</v>
      </c>
      <c r="B12" s="25" t="n">
        <f aca="false">Показатели!D7</f>
        <v>106.555988825498</v>
      </c>
      <c r="C12" s="25" t="n">
        <f aca="false">Показатели!E7</f>
        <v>266.389972063744</v>
      </c>
      <c r="D12" s="25" t="n">
        <f aca="false">Показатели!F7</f>
        <v>0.266322827242848</v>
      </c>
      <c r="E12" s="25" t="n">
        <f aca="false">Показатели!G7</f>
        <v>15.175873733698</v>
      </c>
      <c r="F12" s="25" t="n">
        <f aca="false">Показатели!H7</f>
        <v>6.98758736775941</v>
      </c>
      <c r="G12" s="25" t="n">
        <f aca="false">Показатели!I7</f>
        <v>6650.83022522391</v>
      </c>
      <c r="H12" s="25" t="n">
        <f aca="false">Показатели!J7</f>
        <v>9730.94229706244</v>
      </c>
      <c r="I12" s="25" t="n">
        <f aca="false">Показатели!K7</f>
        <v>17.9369247856255</v>
      </c>
      <c r="J12" s="25" t="n">
        <f aca="false">Показатели!L7</f>
        <v>0</v>
      </c>
      <c r="K12" s="25" t="n">
        <f aca="false">Показатели!M7</f>
        <v>0.163032191891828</v>
      </c>
      <c r="L12" s="26" t="b">
        <f aca="false">Показатели!B7</f>
        <v>1</v>
      </c>
      <c r="N12" s="15" t="n">
        <f aca="false">IF($L12,IF(B$37&gt;B$36,(B12-B$36)/(B$37-B$36),0)+0.000001,0)</f>
        <v>0.0470555035568143</v>
      </c>
      <c r="O12" s="15" t="n">
        <f aca="false">IF($L12,IF(C$37&gt;C$36,(C12-C$36)/(C$37-C$36),0)+0.000001,0)</f>
        <v>0.121768090067403</v>
      </c>
      <c r="P12" s="15" t="n">
        <f aca="false">IF($L12,IF(D$37&gt;D$36,(D12-D$36)/(D$37-D$36),0)+0.000001,0)</f>
        <v>0.00236610450025325</v>
      </c>
      <c r="Q12" s="15" t="n">
        <f aca="false">IF($L12,IF(E$37&gt;E$36,(E12-E$36)/(E$37-E$36),0)+0.000001,0)</f>
        <v>0.808752944532455</v>
      </c>
      <c r="R12" s="15" t="n">
        <f aca="false">IF($L12,IF(F$37&gt;F$36,(F12-F$36)/(F$37-F$36),0)+0.000001,0)</f>
        <v>0.0776681933269749</v>
      </c>
      <c r="S12" s="15" t="n">
        <f aca="false">IF($L12,IF(G$37&gt;G$36,(G12-G$36)/(G$37-G$36),0)+0.000001,0)</f>
        <v>0.0221809441941329</v>
      </c>
      <c r="T12" s="15" t="n">
        <f aca="false">IF($L12,IF(H$37&gt;H$36,(H12-H$36)/(H$37-H$36),0)+0.000001,0)</f>
        <v>0.0894778978377421</v>
      </c>
      <c r="U12" s="15" t="n">
        <f aca="false">IF($L12,IF(I$37&gt;I$36,(I12-I$36)/(I$37-I$36),0)+0.000001,0)</f>
        <v>0.127986390588077</v>
      </c>
      <c r="V12" s="15" t="n">
        <f aca="false">IF($L12,IF(J$37&gt;J$36,(J12-J$36)/(J$37-J$36),0)+0.000001,0)</f>
        <v>1E-006</v>
      </c>
      <c r="W12" s="15" t="n">
        <f aca="false">IF($L12,IF(K$37&gt;K$36,(K12-K$36)/(K$37-K$36),0)+0.000001,0)</f>
        <v>0.0148619247092423</v>
      </c>
      <c r="Y12" s="15" t="n">
        <f aca="false">IF($L12,N12/N$38*LN(N12/N$38),0)</f>
        <v>-0.0302554143276085</v>
      </c>
      <c r="Z12" s="15" t="n">
        <f aca="false">IF($L12,O12/O$38*LN(O12/O$38),0)</f>
        <v>-0.0594447542320906</v>
      </c>
      <c r="AA12" s="15" t="n">
        <f aca="false">IF($L12,P12/P$38*LN(P12/P$38),0)</f>
        <v>-0.00155840919511039</v>
      </c>
      <c r="AB12" s="15" t="n">
        <f aca="false">IF($L12,Q12/Q$38*LN(Q12/Q$38),0)</f>
        <v>-0.22458131127363</v>
      </c>
      <c r="AC12" s="15" t="n">
        <f aca="false">IF($L12,R12/R$38*LN(R12/R$38),0)</f>
        <v>-0.0279084279945636</v>
      </c>
      <c r="AD12" s="15" t="n">
        <f aca="false">IF($L12,S12/S$38*LN(S12/S$38),0)</f>
        <v>-0.0142073655709572</v>
      </c>
      <c r="AE12" s="15" t="n">
        <f aca="false">IF($L12,T12/T$38*LN(T12/T$38),0)</f>
        <v>-0.0434611059373389</v>
      </c>
      <c r="AF12" s="15" t="n">
        <f aca="false">IF($L12,U12/U$38*LN(U12/U$38),0)</f>
        <v>-0.0614081796361283</v>
      </c>
      <c r="AG12" s="15" t="n">
        <f aca="false">IF($L12,V12/V$38*LN(V12/V$38),0)</f>
        <v>-2.11138376284076E-006</v>
      </c>
      <c r="AH12" s="15" t="n">
        <f aca="false">IF($L12,W12/W$38*LN(W12/W$38),0)</f>
        <v>-0.00836978536763309</v>
      </c>
    </row>
    <row r="13" customFormat="false" ht="15" hidden="false" customHeight="false" outlineLevel="0" collapsed="false">
      <c r="A13" s="17" t="str">
        <f aca="false">Показатели!A7&amp;" Д"</f>
        <v>культиватор 0.11×5.4 Д</v>
      </c>
      <c r="B13" s="25" t="n">
        <f aca="false">Показатели!N7</f>
        <v>273.506100480147</v>
      </c>
      <c r="C13" s="25" t="n">
        <f aca="false">Показатели!O7</f>
        <v>314.532015552169</v>
      </c>
      <c r="D13" s="25" t="n">
        <f aca="false">Показатели!P7</f>
        <v>1</v>
      </c>
      <c r="E13" s="25" t="n">
        <f aca="false">Показатели!Q7</f>
        <v>17.5194232235354</v>
      </c>
      <c r="F13" s="25" t="n">
        <f aca="false">Показатели!R7</f>
        <v>14.0088390848902</v>
      </c>
      <c r="G13" s="25" t="n">
        <f aca="false">Показатели!S7</f>
        <v>7496.12137736295</v>
      </c>
      <c r="H13" s="25" t="n">
        <f aca="false">Показатели!T7</f>
        <v>8632.34097412396</v>
      </c>
      <c r="I13" s="25" t="n">
        <f aca="false">Показатели!U7</f>
        <v>20.4177256068745</v>
      </c>
      <c r="J13" s="25" t="n">
        <f aca="false">Показатели!V7</f>
        <v>20.4177256068745</v>
      </c>
      <c r="K13" s="25" t="n">
        <f aca="false">Показатели!W7</f>
        <v>0.729788285274904</v>
      </c>
      <c r="L13" s="26" t="b">
        <f aca="false">Показатели!B7</f>
        <v>1</v>
      </c>
      <c r="N13" s="15" t="n">
        <f aca="false">IF($L13,IF(B$37&gt;B$36,(B13-B$36)/(B$37-B$36),0)+0.000001,0)</f>
        <v>0.334238257454937</v>
      </c>
      <c r="O13" s="15" t="n">
        <f aca="false">IF($L13,IF(C$37&gt;C$36,(C13-C$36)/(C$37-C$36),0)+0.000001,0)</f>
        <v>0.207488627638515</v>
      </c>
      <c r="P13" s="15" t="n">
        <f aca="false">IF($L13,IF(D$37&gt;D$36,(D13-D$36)/(D$37-D$36),0)+0.000001,0)</f>
        <v>1.000001</v>
      </c>
      <c r="Q13" s="15" t="n">
        <f aca="false">IF($L13,IF(E$37&gt;E$36,(E13-E$36)/(E$37-E$36),0)+0.000001,0)</f>
        <v>1.000001</v>
      </c>
      <c r="R13" s="15" t="n">
        <f aca="false">IF($L13,IF(F$37&gt;F$36,(F13-F$36)/(F$37-F$36),0)+0.000001,0)</f>
        <v>0.20278804256559</v>
      </c>
      <c r="S13" s="15" t="n">
        <f aca="false">IF($L13,IF(G$37&gt;G$36,(G13-G$36)/(G$37-G$36),0)+0.000001,0)</f>
        <v>0.0887319448745374</v>
      </c>
      <c r="T13" s="15" t="n">
        <f aca="false">IF($L13,IF(H$37&gt;H$36,(H13-H$36)/(H$37-H$36),0)+0.000001,0)</f>
        <v>0.0232860296066152</v>
      </c>
      <c r="U13" s="15" t="n">
        <f aca="false">IF($L13,IF(I$37&gt;I$36,(I13-I$36)/(I$37-I$36),0)+0.000001,0)</f>
        <v>0.196939303543426</v>
      </c>
      <c r="V13" s="15" t="n">
        <f aca="false">IF($L13,IF(J$37&gt;J$36,(J13-J$36)/(J$37-J$36),0)+0.000001,0)</f>
        <v>0.414066050676584</v>
      </c>
      <c r="W13" s="15" t="n">
        <f aca="false">IF($L13,IF(K$37&gt;K$36,(K13-K$36)/(K$37-K$36),0)+0.000001,0)</f>
        <v>0.68195278333238</v>
      </c>
      <c r="Y13" s="15" t="n">
        <f aca="false">IF($L13,N13/N$38*LN(N13/N$38),0)</f>
        <v>-0.132839008473558</v>
      </c>
      <c r="Z13" s="15" t="n">
        <f aca="false">IF($L13,O13/O$38*LN(O13/O$38),0)</f>
        <v>-0.0886658018921523</v>
      </c>
      <c r="AA13" s="15" t="n">
        <f aca="false">IF($L13,P13/P$38*LN(P13/P$38),0)</f>
        <v>-0.196525298562203</v>
      </c>
      <c r="AB13" s="15" t="n">
        <f aca="false">IF($L13,Q13/Q$38*LN(Q13/Q$38),0)</f>
        <v>-0.252568072718781</v>
      </c>
      <c r="AC13" s="15" t="n">
        <f aca="false">IF($L13,R13/R$38*LN(R13/R$38),0)</f>
        <v>-0.0595064823083698</v>
      </c>
      <c r="AD13" s="15" t="n">
        <f aca="false">IF($L13,S13/S$38*LN(S13/S$38),0)</f>
        <v>-0.0438211958133218</v>
      </c>
      <c r="AE13" s="15" t="n">
        <f aca="false">IF($L13,T13/T$38*LN(T13/T$38),0)</f>
        <v>-0.0145644841838983</v>
      </c>
      <c r="AF13" s="15" t="n">
        <f aca="false">IF($L13,U13/U$38*LN(U13/U$38),0)</f>
        <v>-0.0848718734434828</v>
      </c>
      <c r="AG13" s="15" t="n">
        <f aca="false">IF($L13,V13/V$38*LN(V13/V$38),0)</f>
        <v>-0.159954690661629</v>
      </c>
      <c r="AH13" s="15" t="n">
        <f aca="false">IF($L13,W13/W$38*LN(W13/W$38),0)</f>
        <v>-0.16416366240383</v>
      </c>
    </row>
    <row r="14" customFormat="false" ht="15" hidden="false" customHeight="false" outlineLevel="0" collapsed="false">
      <c r="A14" s="17" t="str">
        <f aca="false">Показатели!A8&amp;" ЭТ"</f>
        <v>культиватор 0.14×3.6 ЭТ</v>
      </c>
      <c r="B14" s="25" t="n">
        <f aca="false">Показатели!D8</f>
        <v>128.062442124024</v>
      </c>
      <c r="C14" s="25" t="n">
        <f aca="false">Показатели!E8</f>
        <v>320.156105310059</v>
      </c>
      <c r="D14" s="25" t="n">
        <f aca="false">Показатели!F8</f>
        <v>0.265618445121468</v>
      </c>
      <c r="E14" s="25" t="n">
        <f aca="false">Показатели!G8</f>
        <v>18.5615309547303</v>
      </c>
      <c r="F14" s="25" t="n">
        <f aca="false">Показатели!H8</f>
        <v>26.0048973240228</v>
      </c>
      <c r="G14" s="25" t="n">
        <f aca="false">Показатели!I8</f>
        <v>9206.36988979943</v>
      </c>
      <c r="H14" s="25" t="n">
        <f aca="false">Показатели!J8</f>
        <v>13487.5483250576</v>
      </c>
      <c r="I14" s="25" t="n">
        <f aca="false">Показатели!K8</f>
        <v>21.557177757544</v>
      </c>
      <c r="J14" s="25" t="n">
        <f aca="false">Показатели!L8</f>
        <v>0</v>
      </c>
      <c r="K14" s="25" t="n">
        <f aca="false">Показатели!M8</f>
        <v>0.195915464689384</v>
      </c>
      <c r="L14" s="26" t="b">
        <f aca="false">Показатели!B8</f>
        <v>0</v>
      </c>
      <c r="N14" s="15" t="n">
        <f aca="false">IF($L14,IF(B$37&gt;B$36,(B14-B$36)/(B$37-B$36),0)+0.000001,0)</f>
        <v>0</v>
      </c>
      <c r="O14" s="15" t="n">
        <f aca="false">IF($L14,IF(C$37&gt;C$36,(C14-C$36)/(C$37-C$36),0)+0.000001,0)</f>
        <v>0</v>
      </c>
      <c r="P14" s="15" t="n">
        <f aca="false">IF($L14,IF(D$37&gt;D$36,(D14-D$36)/(D$37-D$36),0)+0.000001,0)</f>
        <v>0</v>
      </c>
      <c r="Q14" s="15" t="n">
        <f aca="false">IF($L14,IF(E$37&gt;E$36,(E14-E$36)/(E$37-E$36),0)+0.000001,0)</f>
        <v>0</v>
      </c>
      <c r="R14" s="15" t="n">
        <f aca="false">IF($L14,IF(F$37&gt;F$36,(F14-F$36)/(F$37-F$36),0)+0.000001,0)</f>
        <v>0</v>
      </c>
      <c r="S14" s="15" t="n">
        <f aca="false">IF($L14,IF(G$37&gt;G$36,(G14-G$36)/(G$37-G$36),0)+0.000001,0)</f>
        <v>0</v>
      </c>
      <c r="T14" s="15" t="n">
        <f aca="false">IF($L14,IF(H$37&gt;H$36,(H14-H$36)/(H$37-H$36),0)+0.000001,0)</f>
        <v>0</v>
      </c>
      <c r="U14" s="15" t="n">
        <f aca="false">IF($L14,IF(I$37&gt;I$36,(I14-I$36)/(I$37-I$36),0)+0.000001,0)</f>
        <v>0</v>
      </c>
      <c r="V14" s="15" t="n">
        <f aca="false">IF($L14,IF(J$37&gt;J$36,(J14-J$36)/(J$37-J$36),0)+0.000001,0)</f>
        <v>0</v>
      </c>
      <c r="W14" s="15" t="n">
        <f aca="false">IF($L14,IF(K$37&gt;K$36,(K14-K$36)/(K$37-K$36),0)+0.000001,0)</f>
        <v>0</v>
      </c>
      <c r="Y14" s="15" t="n">
        <f aca="false">IF($L14,N14/N$38*LN(N14/N$38),0)</f>
        <v>0</v>
      </c>
      <c r="Z14" s="15" t="n">
        <f aca="false">IF($L14,O14/O$38*LN(O14/O$38),0)</f>
        <v>0</v>
      </c>
      <c r="AA14" s="15" t="n">
        <f aca="false">IF($L14,P14/P$38*LN(P14/P$38),0)</f>
        <v>0</v>
      </c>
      <c r="AB14" s="15" t="n">
        <f aca="false">IF($L14,Q14/Q$38*LN(Q14/Q$38),0)</f>
        <v>0</v>
      </c>
      <c r="AC14" s="15" t="n">
        <f aca="false">IF($L14,R14/R$38*LN(R14/R$38),0)</f>
        <v>0</v>
      </c>
      <c r="AD14" s="15" t="n">
        <f aca="false">IF($L14,S14/S$38*LN(S14/S$38),0)</f>
        <v>0</v>
      </c>
      <c r="AE14" s="15" t="n">
        <f aca="false">IF($L14,T14/T$38*LN(T14/T$38),0)</f>
        <v>0</v>
      </c>
      <c r="AF14" s="15" t="n">
        <f aca="false">IF($L14,U14/U$38*LN(U14/U$38),0)</f>
        <v>0</v>
      </c>
      <c r="AG14" s="15" t="n">
        <f aca="false">IF($L14,V14/V$38*LN(V14/V$38),0)</f>
        <v>0</v>
      </c>
      <c r="AH14" s="15" t="n">
        <f aca="false">IF($L14,W14/W$38*LN(W14/W$38),0)</f>
        <v>0</v>
      </c>
    </row>
    <row r="15" customFormat="false" ht="15" hidden="false" customHeight="false" outlineLevel="0" collapsed="false">
      <c r="A15" s="17" t="str">
        <f aca="false">Показатели!A8&amp;" Д"</f>
        <v>культиватор 0.14×3.6 Д</v>
      </c>
      <c r="B15" s="25" t="n">
        <f aca="false">Показатели!N8</f>
        <v>355.791393271325</v>
      </c>
      <c r="C15" s="25" t="n">
        <f aca="false">Показатели!O8</f>
        <v>409.160102262024</v>
      </c>
      <c r="D15" s="25" t="n">
        <f aca="false">Показатели!P8</f>
        <v>1</v>
      </c>
      <c r="E15" s="25" t="n">
        <f aca="false">Показатели!Q8</f>
        <v>22.6731959263838</v>
      </c>
      <c r="F15" s="25" t="n">
        <f aca="false">Показатели!R8</f>
        <v>29.6857949402421</v>
      </c>
      <c r="G15" s="25" t="n">
        <f aca="false">Показатели!S8</f>
        <v>10382.9768384266</v>
      </c>
      <c r="H15" s="25" t="n">
        <f aca="false">Показатели!T8</f>
        <v>12008.537071363</v>
      </c>
      <c r="I15" s="25" t="n">
        <f aca="false">Показатели!U8</f>
        <v>26.5604716982493</v>
      </c>
      <c r="J15" s="25" t="n">
        <f aca="false">Показатели!V8</f>
        <v>26.5604716982493</v>
      </c>
      <c r="K15" s="25" t="n">
        <f aca="false">Показатели!W8</f>
        <v>0.801386227467906</v>
      </c>
      <c r="L15" s="26" t="b">
        <f aca="false">Показатели!B8</f>
        <v>0</v>
      </c>
      <c r="N15" s="15" t="n">
        <f aca="false">IF($L15,IF(B$37&gt;B$36,(B15-B$36)/(B$37-B$36),0)+0.000001,0)</f>
        <v>0</v>
      </c>
      <c r="O15" s="15" t="n">
        <f aca="false">IF($L15,IF(C$37&gt;C$36,(C15-C$36)/(C$37-C$36),0)+0.000001,0)</f>
        <v>0</v>
      </c>
      <c r="P15" s="15" t="n">
        <f aca="false">IF($L15,IF(D$37&gt;D$36,(D15-D$36)/(D$37-D$36),0)+0.000001,0)</f>
        <v>0</v>
      </c>
      <c r="Q15" s="15" t="n">
        <f aca="false">IF($L15,IF(E$37&gt;E$36,(E15-E$36)/(E$37-E$36),0)+0.000001,0)</f>
        <v>0</v>
      </c>
      <c r="R15" s="15" t="n">
        <f aca="false">IF($L15,IF(F$37&gt;F$36,(F15-F$36)/(F$37-F$36),0)+0.000001,0)</f>
        <v>0</v>
      </c>
      <c r="S15" s="15" t="n">
        <f aca="false">IF($L15,IF(G$37&gt;G$36,(G15-G$36)/(G$37-G$36),0)+0.000001,0)</f>
        <v>0</v>
      </c>
      <c r="T15" s="15" t="n">
        <f aca="false">IF($L15,IF(H$37&gt;H$36,(H15-H$36)/(H$37-H$36),0)+0.000001,0)</f>
        <v>0</v>
      </c>
      <c r="U15" s="15" t="n">
        <f aca="false">IF($L15,IF(I$37&gt;I$36,(I15-I$36)/(I$37-I$36),0)+0.000001,0)</f>
        <v>0</v>
      </c>
      <c r="V15" s="15" t="n">
        <f aca="false">IF($L15,IF(J$37&gt;J$36,(J15-J$36)/(J$37-J$36),0)+0.000001,0)</f>
        <v>0</v>
      </c>
      <c r="W15" s="15" t="n">
        <f aca="false">IF($L15,IF(K$37&gt;K$36,(K15-K$36)/(K$37-K$36),0)+0.000001,0)</f>
        <v>0</v>
      </c>
      <c r="Y15" s="15" t="n">
        <f aca="false">IF($L15,N15/N$38*LN(N15/N$38),0)</f>
        <v>0</v>
      </c>
      <c r="Z15" s="15" t="n">
        <f aca="false">IF($L15,O15/O$38*LN(O15/O$38),0)</f>
        <v>0</v>
      </c>
      <c r="AA15" s="15" t="n">
        <f aca="false">IF($L15,P15/P$38*LN(P15/P$38),0)</f>
        <v>0</v>
      </c>
      <c r="AB15" s="15" t="n">
        <f aca="false">IF($L15,Q15/Q$38*LN(Q15/Q$38),0)</f>
        <v>0</v>
      </c>
      <c r="AC15" s="15" t="n">
        <f aca="false">IF($L15,R15/R$38*LN(R15/R$38),0)</f>
        <v>0</v>
      </c>
      <c r="AD15" s="15" t="n">
        <f aca="false">IF($L15,S15/S$38*LN(S15/S$38),0)</f>
        <v>0</v>
      </c>
      <c r="AE15" s="15" t="n">
        <f aca="false">IF($L15,T15/T$38*LN(T15/T$38),0)</f>
        <v>0</v>
      </c>
      <c r="AF15" s="15" t="n">
        <f aca="false">IF($L15,U15/U$38*LN(U15/U$38),0)</f>
        <v>0</v>
      </c>
      <c r="AG15" s="15" t="n">
        <f aca="false">IF($L15,V15/V$38*LN(V15/V$38),0)</f>
        <v>0</v>
      </c>
      <c r="AH15" s="15" t="n">
        <f aca="false">IF($L15,W15/W$38*LN(W15/W$38),0)</f>
        <v>0</v>
      </c>
    </row>
    <row r="16" customFormat="false" ht="15" hidden="false" customHeight="false" outlineLevel="0" collapsed="false">
      <c r="A16" s="17" t="str">
        <f aca="false">Показатели!A9&amp;" ЭТ"</f>
        <v>культиватор 0.14×4.5 ЭТ</v>
      </c>
      <c r="B16" s="25" t="n">
        <f aca="false">Показатели!D9</f>
        <v>129.782725223841</v>
      </c>
      <c r="C16" s="25" t="n">
        <f aca="false">Показатели!E9</f>
        <v>324.456813059601</v>
      </c>
      <c r="D16" s="25" t="n">
        <f aca="false">Показатели!F9</f>
        <v>0.266698128687637</v>
      </c>
      <c r="E16" s="25" t="n">
        <f aca="false">Показатели!G9</f>
        <v>19.3140964952159</v>
      </c>
      <c r="F16" s="25" t="n">
        <f aca="false">Показатели!H9</f>
        <v>4.83034495635215</v>
      </c>
      <c r="G16" s="25" t="n">
        <f aca="false">Показатели!I9</f>
        <v>7858.2447660676</v>
      </c>
      <c r="H16" s="25" t="n">
        <f aca="false">Показатели!J9</f>
        <v>11501.5524561378</v>
      </c>
      <c r="I16" s="25" t="n">
        <f aca="false">Показатели!K9</f>
        <v>21.8467587460132</v>
      </c>
      <c r="J16" s="25" t="n">
        <f aca="false">Показатели!L9</f>
        <v>0</v>
      </c>
      <c r="K16" s="25" t="n">
        <f aca="false">Показатели!M9</f>
        <v>0.156764054292904</v>
      </c>
      <c r="L16" s="26" t="b">
        <f aca="false">Показатели!B9</f>
        <v>0</v>
      </c>
      <c r="N16" s="15" t="n">
        <f aca="false">IF($L16,IF(B$37&gt;B$36,(B16-B$36)/(B$37-B$36),0)+0.000001,0)</f>
        <v>0</v>
      </c>
      <c r="O16" s="15" t="n">
        <f aca="false">IF($L16,IF(C$37&gt;C$36,(C16-C$36)/(C$37-C$36),0)+0.000001,0)</f>
        <v>0</v>
      </c>
      <c r="P16" s="15" t="n">
        <f aca="false">IF($L16,IF(D$37&gt;D$36,(D16-D$36)/(D$37-D$36),0)+0.000001,0)</f>
        <v>0</v>
      </c>
      <c r="Q16" s="15" t="n">
        <f aca="false">IF($L16,IF(E$37&gt;E$36,(E16-E$36)/(E$37-E$36),0)+0.000001,0)</f>
        <v>0</v>
      </c>
      <c r="R16" s="15" t="n">
        <f aca="false">IF($L16,IF(F$37&gt;F$36,(F16-F$36)/(F$37-F$36),0)+0.000001,0)</f>
        <v>0</v>
      </c>
      <c r="S16" s="15" t="n">
        <f aca="false">IF($L16,IF(G$37&gt;G$36,(G16-G$36)/(G$37-G$36),0)+0.000001,0)</f>
        <v>0</v>
      </c>
      <c r="T16" s="15" t="n">
        <f aca="false">IF($L16,IF(H$37&gt;H$36,(H16-H$36)/(H$37-H$36),0)+0.000001,0)</f>
        <v>0</v>
      </c>
      <c r="U16" s="15" t="n">
        <f aca="false">IF($L16,IF(I$37&gt;I$36,(I16-I$36)/(I$37-I$36),0)+0.000001,0)</f>
        <v>0</v>
      </c>
      <c r="V16" s="15" t="n">
        <f aca="false">IF($L16,IF(J$37&gt;J$36,(J16-J$36)/(J$37-J$36),0)+0.000001,0)</f>
        <v>0</v>
      </c>
      <c r="W16" s="15" t="n">
        <f aca="false">IF($L16,IF(K$37&gt;K$36,(K16-K$36)/(K$37-K$36),0)+0.000001,0)</f>
        <v>0</v>
      </c>
      <c r="Y16" s="15" t="n">
        <f aca="false">IF($L16,N16/N$38*LN(N16/N$38),0)</f>
        <v>0</v>
      </c>
      <c r="Z16" s="15" t="n">
        <f aca="false">IF($L16,O16/O$38*LN(O16/O$38),0)</f>
        <v>0</v>
      </c>
      <c r="AA16" s="15" t="n">
        <f aca="false">IF($L16,P16/P$38*LN(P16/P$38),0)</f>
        <v>0</v>
      </c>
      <c r="AB16" s="15" t="n">
        <f aca="false">IF($L16,Q16/Q$38*LN(Q16/Q$38),0)</f>
        <v>0</v>
      </c>
      <c r="AC16" s="15" t="n">
        <f aca="false">IF($L16,R16/R$38*LN(R16/R$38),0)</f>
        <v>0</v>
      </c>
      <c r="AD16" s="15" t="n">
        <f aca="false">IF($L16,S16/S$38*LN(S16/S$38),0)</f>
        <v>0</v>
      </c>
      <c r="AE16" s="15" t="n">
        <f aca="false">IF($L16,T16/T$38*LN(T16/T$38),0)</f>
        <v>0</v>
      </c>
      <c r="AF16" s="15" t="n">
        <f aca="false">IF($L16,U16/U$38*LN(U16/U$38),0)</f>
        <v>0</v>
      </c>
      <c r="AG16" s="15" t="n">
        <f aca="false">IF($L16,V16/V$38*LN(V16/V$38),0)</f>
        <v>0</v>
      </c>
      <c r="AH16" s="15" t="n">
        <f aca="false">IF($L16,W16/W$38*LN(W16/W$38),0)</f>
        <v>0</v>
      </c>
    </row>
    <row r="17" customFormat="false" ht="15" hidden="false" customHeight="false" outlineLevel="0" collapsed="false">
      <c r="A17" s="17" t="str">
        <f aca="false">Показатели!A9&amp;" Д"</f>
        <v>культиватор 0.14×4.5 Д</v>
      </c>
      <c r="B17" s="25" t="n">
        <f aca="false">Показатели!N9</f>
        <v>336.061552415583</v>
      </c>
      <c r="C17" s="25" t="n">
        <f aca="false">Показатели!O9</f>
        <v>386.470785277921</v>
      </c>
      <c r="D17" s="25" t="n">
        <f aca="false">Показатели!P9</f>
        <v>1</v>
      </c>
      <c r="E17" s="25" t="n">
        <f aca="false">Показатели!Q9</f>
        <v>23.9511067387461</v>
      </c>
      <c r="F17" s="25" t="n">
        <f aca="false">Показатели!R9</f>
        <v>8.82006115965525</v>
      </c>
      <c r="G17" s="25" t="n">
        <f aca="false">Показатели!S9</f>
        <v>8935.97753766323</v>
      </c>
      <c r="H17" s="25" t="n">
        <f aca="false">Показатели!T9</f>
        <v>10267.9333888944</v>
      </c>
      <c r="I17" s="25" t="n">
        <f aca="false">Показатели!U9</f>
        <v>25.0876033558151</v>
      </c>
      <c r="J17" s="25" t="n">
        <f aca="false">Показатели!V9</f>
        <v>25.0876033558151</v>
      </c>
      <c r="K17" s="25" t="n">
        <f aca="false">Показатели!W9</f>
        <v>0.696886696188284</v>
      </c>
      <c r="L17" s="26" t="b">
        <f aca="false">Показатели!B9</f>
        <v>0</v>
      </c>
      <c r="N17" s="15" t="n">
        <f aca="false">IF($L17,IF(B$37&gt;B$36,(B17-B$36)/(B$37-B$36),0)+0.000001,0)</f>
        <v>0</v>
      </c>
      <c r="O17" s="15" t="n">
        <f aca="false">IF($L17,IF(C$37&gt;C$36,(C17-C$36)/(C$37-C$36),0)+0.000001,0)</f>
        <v>0</v>
      </c>
      <c r="P17" s="15" t="n">
        <f aca="false">IF($L17,IF(D$37&gt;D$36,(D17-D$36)/(D$37-D$36),0)+0.000001,0)</f>
        <v>0</v>
      </c>
      <c r="Q17" s="15" t="n">
        <f aca="false">IF($L17,IF(E$37&gt;E$36,(E17-E$36)/(E$37-E$36),0)+0.000001,0)</f>
        <v>0</v>
      </c>
      <c r="R17" s="15" t="n">
        <f aca="false">IF($L17,IF(F$37&gt;F$36,(F17-F$36)/(F$37-F$36),0)+0.000001,0)</f>
        <v>0</v>
      </c>
      <c r="S17" s="15" t="n">
        <f aca="false">IF($L17,IF(G$37&gt;G$36,(G17-G$36)/(G$37-G$36),0)+0.000001,0)</f>
        <v>0</v>
      </c>
      <c r="T17" s="15" t="n">
        <f aca="false">IF($L17,IF(H$37&gt;H$36,(H17-H$36)/(H$37-H$36),0)+0.000001,0)</f>
        <v>0</v>
      </c>
      <c r="U17" s="15" t="n">
        <f aca="false">IF($L17,IF(I$37&gt;I$36,(I17-I$36)/(I$37-I$36),0)+0.000001,0)</f>
        <v>0</v>
      </c>
      <c r="V17" s="15" t="n">
        <f aca="false">IF($L17,IF(J$37&gt;J$36,(J17-J$36)/(J$37-J$36),0)+0.000001,0)</f>
        <v>0</v>
      </c>
      <c r="W17" s="15" t="n">
        <f aca="false">IF($L17,IF(K$37&gt;K$36,(K17-K$36)/(K$37-K$36),0)+0.000001,0)</f>
        <v>0</v>
      </c>
      <c r="Y17" s="15" t="n">
        <f aca="false">IF($L17,N17/N$38*LN(N17/N$38),0)</f>
        <v>0</v>
      </c>
      <c r="Z17" s="15" t="n">
        <f aca="false">IF($L17,O17/O$38*LN(O17/O$38),0)</f>
        <v>0</v>
      </c>
      <c r="AA17" s="15" t="n">
        <f aca="false">IF($L17,P17/P$38*LN(P17/P$38),0)</f>
        <v>0</v>
      </c>
      <c r="AB17" s="15" t="n">
        <f aca="false">IF($L17,Q17/Q$38*LN(Q17/Q$38),0)</f>
        <v>0</v>
      </c>
      <c r="AC17" s="15" t="n">
        <f aca="false">IF($L17,R17/R$38*LN(R17/R$38),0)</f>
        <v>0</v>
      </c>
      <c r="AD17" s="15" t="n">
        <f aca="false">IF($L17,S17/S$38*LN(S17/S$38),0)</f>
        <v>0</v>
      </c>
      <c r="AE17" s="15" t="n">
        <f aca="false">IF($L17,T17/T$38*LN(T17/T$38),0)</f>
        <v>0</v>
      </c>
      <c r="AF17" s="15" t="n">
        <f aca="false">IF($L17,U17/U$38*LN(U17/U$38),0)</f>
        <v>0</v>
      </c>
      <c r="AG17" s="15" t="n">
        <f aca="false">IF($L17,V17/V$38*LN(V17/V$38),0)</f>
        <v>0</v>
      </c>
      <c r="AH17" s="15" t="n">
        <f aca="false">IF($L17,W17/W$38*LN(W17/W$38),0)</f>
        <v>0</v>
      </c>
    </row>
    <row r="18" customFormat="false" ht="15" hidden="false" customHeight="false" outlineLevel="0" collapsed="false">
      <c r="A18" s="17" t="str">
        <f aca="false">Показатели!A10&amp;" ЭТ"</f>
        <v>фреза 0.08×1.8 ЭТ</v>
      </c>
      <c r="B18" s="25" t="n">
        <f aca="false">Показатели!D10</f>
        <v>146.45224857574</v>
      </c>
      <c r="C18" s="25" t="n">
        <f aca="false">Показатели!E10</f>
        <v>366.130621439351</v>
      </c>
      <c r="D18" s="25" t="n">
        <f aca="false">Показатели!F10</f>
        <v>0.28924197918314</v>
      </c>
      <c r="E18" s="25" t="n">
        <f aca="false">Показатели!G10</f>
        <v>5.26544508970218</v>
      </c>
      <c r="F18" s="25" t="n">
        <f aca="false">Показатели!H10</f>
        <v>54.8090187929451</v>
      </c>
      <c r="G18" s="25" t="n">
        <f aca="false">Показатели!I10</f>
        <v>14835.6085433826</v>
      </c>
      <c r="H18" s="25" t="n">
        <f aca="false">Показатели!J10</f>
        <v>22657.1643418365</v>
      </c>
      <c r="I18" s="25" t="n">
        <f aca="false">Показатели!K10</f>
        <v>24.6527951769163</v>
      </c>
      <c r="J18" s="25" t="n">
        <f aca="false">Показатели!L10</f>
        <v>0</v>
      </c>
      <c r="K18" s="25" t="n">
        <f aca="false">Показатели!M10</f>
        <v>0.304956148209979</v>
      </c>
      <c r="L18" s="26" t="b">
        <f aca="false">Показатели!B10</f>
        <v>1</v>
      </c>
      <c r="N18" s="15" t="n">
        <f aca="false">IF($L18,IF(B$37&gt;B$36,(B18-B$36)/(B$37-B$36),0)+0.000001,0)</f>
        <v>0.115683895785807</v>
      </c>
      <c r="O18" s="15" t="n">
        <f aca="false">IF($L18,IF(C$37&gt;C$36,(C18-C$36)/(C$37-C$36),0)+0.000001,0)</f>
        <v>0.299363835130124</v>
      </c>
      <c r="P18" s="15" t="n">
        <f aca="false">IF($L18,IF(D$37&gt;D$36,(D18-D$36)/(D$37-D$36),0)+0.000001,0)</f>
        <v>0.0335309636507282</v>
      </c>
      <c r="Q18" s="15" t="n">
        <f aca="false">IF($L18,IF(E$37&gt;E$36,(E18-E$36)/(E$37-E$36),0)+0.000001,0)</f>
        <v>1E-006</v>
      </c>
      <c r="R18" s="15" t="n">
        <f aca="false">IF($L18,IF(F$37&gt;F$36,(F18-F$36)/(F$37-F$36),0)+0.000001,0)</f>
        <v>0.929853890600211</v>
      </c>
      <c r="S18" s="15" t="n">
        <f aca="false">IF($L18,IF(G$37&gt;G$36,(G18-G$36)/(G$37-G$36),0)+0.000001,0)</f>
        <v>0.666580434289756</v>
      </c>
      <c r="T18" s="15" t="n">
        <f aca="false">IF($L18,IF(H$37&gt;H$36,(H18-H$36)/(H$37-H$36),0)+0.000001,0)</f>
        <v>0.868296171991488</v>
      </c>
      <c r="U18" s="15" t="n">
        <f aca="false">IF($L18,IF(I$37&gt;I$36,(I18-I$36)/(I$37-I$36),0)+0.000001,0)</f>
        <v>0.314651447509868</v>
      </c>
      <c r="V18" s="15" t="n">
        <f aca="false">IF($L18,IF(J$37&gt;J$36,(J18-J$36)/(J$37-J$36),0)+0.000001,0)</f>
        <v>1E-006</v>
      </c>
      <c r="W18" s="15" t="n">
        <f aca="false">IF($L18,IF(K$37&gt;K$36,(K18-K$36)/(K$37-K$36),0)+0.000001,0)</f>
        <v>0.181911163323208</v>
      </c>
      <c r="Y18" s="15" t="n">
        <f aca="false">IF($L18,N18/N$38*LN(N18/N$38),0)</f>
        <v>-0.0613490207457096</v>
      </c>
      <c r="Z18" s="15" t="n">
        <f aca="false">IF($L18,O18/O$38*LN(O18/O$38),0)</f>
        <v>-0.115396711788027</v>
      </c>
      <c r="AA18" s="15" t="n">
        <f aca="false">IF($L18,P18/P$38*LN(P18/P$38),0)</f>
        <v>-0.0152906301295294</v>
      </c>
      <c r="AB18" s="15" t="n">
        <f aca="false">IF($L18,Q18/Q$38*LN(Q18/Q$38),0)</f>
        <v>-1.88758665381909E-006</v>
      </c>
      <c r="AC18" s="15" t="n">
        <f aca="false">IF($L18,R18/R$38*LN(R18/R$38),0)</f>
        <v>-0.175642663573098</v>
      </c>
      <c r="AD18" s="15" t="n">
        <f aca="false">IF($L18,S18/S$38*LN(S18/S$38),0)</f>
        <v>-0.187001050433928</v>
      </c>
      <c r="AE18" s="15" t="n">
        <f aca="false">IF($L18,T18/T$38*LN(T18/T$38),0)</f>
        <v>-0.21690785941019</v>
      </c>
      <c r="AF18" s="15" t="n">
        <f aca="false">IF($L18,U18/U$38*LN(U18/U$38),0)</f>
        <v>-0.118889474106472</v>
      </c>
      <c r="AG18" s="15" t="n">
        <f aca="false">IF($L18,V18/V$38*LN(V18/V$38),0)</f>
        <v>-2.11138376284076E-006</v>
      </c>
      <c r="AH18" s="15" t="n">
        <f aca="false">IF($L18,W18/W$38*LN(W18/W$38),0)</f>
        <v>-0.064048815540173</v>
      </c>
    </row>
    <row r="19" customFormat="false" ht="15" hidden="false" customHeight="false" outlineLevel="0" collapsed="false">
      <c r="A19" s="17" t="str">
        <f aca="false">Показатели!A10&amp;" Д"</f>
        <v>фреза 0.08×1.8 Д</v>
      </c>
      <c r="B19" s="25" t="n">
        <f aca="false">Показатели!N10</f>
        <v>505.463838584992</v>
      </c>
      <c r="C19" s="25" t="n">
        <f aca="false">Показатели!O10</f>
        <v>581.283414372741</v>
      </c>
      <c r="D19" s="25" t="n">
        <f aca="false">Показатели!P10</f>
        <v>1</v>
      </c>
      <c r="E19" s="25" t="n">
        <f aca="false">Показатели!Q10</f>
        <v>5.26544508970218</v>
      </c>
      <c r="F19" s="25" t="n">
        <f aca="false">Показатели!R10</f>
        <v>58.7454087048747</v>
      </c>
      <c r="G19" s="25" t="n">
        <f aca="false">Показатели!S10</f>
        <v>17578.9480558236</v>
      </c>
      <c r="H19" s="25" t="n">
        <f aca="false">Показатели!T10</f>
        <v>20548.7869116275</v>
      </c>
      <c r="I19" s="25" t="n">
        <f aca="false">Показатели!U10</f>
        <v>37.7337907355927</v>
      </c>
      <c r="J19" s="25" t="n">
        <f aca="false">Показатели!V10</f>
        <v>37.7337907355927</v>
      </c>
      <c r="K19" s="25" t="n">
        <f aca="false">Показатели!W10</f>
        <v>1</v>
      </c>
      <c r="L19" s="26" t="b">
        <f aca="false">Показатели!B10</f>
        <v>1</v>
      </c>
      <c r="N19" s="15" t="n">
        <f aca="false">IF($L19,IF(B$37&gt;B$36,(B19-B$36)/(B$37-B$36),0)+0.000001,0)</f>
        <v>0.733245250362651</v>
      </c>
      <c r="O19" s="15" t="n">
        <f aca="false">IF($L19,IF(C$37&gt;C$36,(C19-C$36)/(C$37-C$36),0)+0.000001,0)</f>
        <v>0.682459602026904</v>
      </c>
      <c r="P19" s="15" t="n">
        <f aca="false">IF($L19,IF(D$37&gt;D$36,(D19-D$36)/(D$37-D$36),0)+0.000001,0)</f>
        <v>1.000001</v>
      </c>
      <c r="Q19" s="15" t="n">
        <f aca="false">IF($L19,IF(E$37&gt;E$36,(E19-E$36)/(E$37-E$36),0)+0.000001,0)</f>
        <v>1E-006</v>
      </c>
      <c r="R19" s="15" t="n">
        <f aca="false">IF($L19,IF(F$37&gt;F$36,(F19-F$36)/(F$37-F$36),0)+0.000001,0)</f>
        <v>1.000001</v>
      </c>
      <c r="S19" s="15" t="n">
        <f aca="false">IF($L19,IF(G$37&gt;G$36,(G19-G$36)/(G$37-G$36),0)+0.000001,0)</f>
        <v>0.882567540385733</v>
      </c>
      <c r="T19" s="15" t="n">
        <f aca="false">IF($L19,IF(H$37&gt;H$36,(H19-H$36)/(H$37-H$36),0)+0.000001,0)</f>
        <v>0.741264246826322</v>
      </c>
      <c r="U19" s="15" t="n">
        <f aca="false">IF($L19,IF(I$37&gt;I$36,(I19-I$36)/(I$37-I$36),0)+0.000001,0)</f>
        <v>0.678232731585949</v>
      </c>
      <c r="V19" s="15" t="n">
        <f aca="false">IF($L19,IF(J$37&gt;J$36,(J19-J$36)/(J$37-J$36),0)+0.000001,0)</f>
        <v>0.765230402823018</v>
      </c>
      <c r="W19" s="15" t="n">
        <f aca="false">IF($L19,IF(K$37&gt;K$36,(K19-K$36)/(K$37-K$36),0)+0.000001,0)</f>
        <v>1.000001</v>
      </c>
      <c r="Y19" s="15" t="n">
        <f aca="false">IF($L19,N19/N$38*LN(N19/N$38),0)</f>
        <v>-0.219274674694727</v>
      </c>
      <c r="Z19" s="15" t="n">
        <f aca="false">IF($L19,O19/O$38*LN(O19/O$38),0)</f>
        <v>-0.198859361483847</v>
      </c>
      <c r="AA19" s="15" t="n">
        <f aca="false">IF($L19,P19/P$38*LN(P19/P$38),0)</f>
        <v>-0.196525298562203</v>
      </c>
      <c r="AB19" s="15" t="n">
        <f aca="false">IF($L19,Q19/Q$38*LN(Q19/Q$38),0)</f>
        <v>-1.88758665381909E-006</v>
      </c>
      <c r="AC19" s="15" t="n">
        <f aca="false">IF($L19,R19/R$38*LN(R19/R$38),0)</f>
        <v>-0.183899903274111</v>
      </c>
      <c r="AD19" s="15" t="n">
        <f aca="false">IF($L19,S19/S$38*LN(S19/S$38),0)</f>
        <v>-0.221388821804712</v>
      </c>
      <c r="AE19" s="15" t="n">
        <f aca="false">IF($L19,T19/T$38*LN(T19/T$38),0)</f>
        <v>-0.19734579792564</v>
      </c>
      <c r="AF19" s="15" t="n">
        <f aca="false">IF($L19,U19/U$38*LN(U19/U$38),0)</f>
        <v>-0.197226113703903</v>
      </c>
      <c r="AG19" s="15" t="n">
        <f aca="false">IF($L19,V19/V$38*LN(V19/V$38),0)</f>
        <v>-0.232927013513938</v>
      </c>
      <c r="AH19" s="15" t="n">
        <f aca="false">IF($L19,W19/W$38*LN(W19/W$38),0)</f>
        <v>-0.20846649884251</v>
      </c>
    </row>
    <row r="20" customFormat="false" ht="15" hidden="false" customHeight="false" outlineLevel="0" collapsed="false">
      <c r="A20" s="17" t="str">
        <f aca="false">Показатели!A11&amp;" ЭТ"</f>
        <v>фреза 0.08×2.7 ЭТ</v>
      </c>
      <c r="B20" s="25" t="n">
        <f aca="false">Показатели!D11</f>
        <v>134.68801600435</v>
      </c>
      <c r="C20" s="25" t="n">
        <f aca="false">Показатели!E11</f>
        <v>336.720040010874</v>
      </c>
      <c r="D20" s="25" t="n">
        <f aca="false">Показатели!F11</f>
        <v>0.264795978012297</v>
      </c>
      <c r="E20" s="25" t="n">
        <f aca="false">Показатели!G11</f>
        <v>5.26544508970218</v>
      </c>
      <c r="F20" s="25" t="n">
        <f aca="false">Показатели!H11</f>
        <v>39.9499024849471</v>
      </c>
      <c r="G20" s="25" t="n">
        <f aca="false">Показатели!I11</f>
        <v>11178.7483235935</v>
      </c>
      <c r="H20" s="25" t="n">
        <f aca="false">Показатели!J11</f>
        <v>16525.8877883101</v>
      </c>
      <c r="I20" s="25" t="n">
        <f aca="false">Показатели!K11</f>
        <v>22.6724826940655</v>
      </c>
      <c r="J20" s="25" t="n">
        <f aca="false">Показатели!L11</f>
        <v>0</v>
      </c>
      <c r="K20" s="25" t="n">
        <f aca="false">Показатели!M11</f>
        <v>0.235292917855162</v>
      </c>
      <c r="L20" s="26" t="b">
        <f aca="false">Показатели!B11</f>
        <v>1</v>
      </c>
      <c r="N20" s="15" t="n">
        <f aca="false">IF($L20,IF(B$37&gt;B$36,(B20-B$36)/(B$37-B$36),0)+0.000001,0)</f>
        <v>0.0954474031362029</v>
      </c>
      <c r="O20" s="15" t="n">
        <f aca="false">IF($L20,IF(C$37&gt;C$36,(C20-C$36)/(C$37-C$36),0)+0.000001,0)</f>
        <v>0.24699607780935</v>
      </c>
      <c r="P20" s="15" t="n">
        <f aca="false">IF($L20,IF(D$37&gt;D$36,(D20-D$36)/(D$37-D$36),0)+0.000001,0)</f>
        <v>0.000289935131591658</v>
      </c>
      <c r="Q20" s="15" t="n">
        <f aca="false">IF($L20,IF(E$37&gt;E$36,(E20-E$36)/(E$37-E$36),0)+0.000001,0)</f>
        <v>1E-006</v>
      </c>
      <c r="R20" s="15" t="n">
        <f aca="false">IF($L20,IF(F$37&gt;F$36,(F20-F$36)/(F$37-F$36),0)+0.000001,0)</f>
        <v>0.665062017701015</v>
      </c>
      <c r="S20" s="15" t="n">
        <f aca="false">IF($L20,IF(G$37&gt;G$36,(G20-G$36)/(G$37-G$36),0)+0.000001,0)</f>
        <v>0.378670515489027</v>
      </c>
      <c r="T20" s="15" t="n">
        <f aca="false">IF($L20,IF(H$37&gt;H$36,(H20-H$36)/(H$37-H$36),0)+0.000001,0)</f>
        <v>0.498880405556674</v>
      </c>
      <c r="U20" s="15" t="n">
        <f aca="false">IF($L20,IF(I$37&gt;I$36,(I20-I$36)/(I$37-I$36),0)+0.000001,0)</f>
        <v>0.259609417095815</v>
      </c>
      <c r="V20" s="15" t="n">
        <f aca="false">IF($L20,IF(J$37&gt;J$36,(J20-J$36)/(J$37-J$36),0)+0.000001,0)</f>
        <v>1E-006</v>
      </c>
      <c r="W20" s="15" t="n">
        <f aca="false">IF($L20,IF(K$37&gt;K$36,(K20-K$36)/(K$37-K$36),0)+0.000001,0)</f>
        <v>0.0999152135761875</v>
      </c>
      <c r="Y20" s="15" t="n">
        <f aca="false">IF($L20,N20/N$38*LN(N20/N$38),0)</f>
        <v>-0.0529158270173051</v>
      </c>
      <c r="Z20" s="15" t="n">
        <f aca="false">IF($L20,O20/O$38*LN(O20/O$38),0)</f>
        <v>-0.100633093594289</v>
      </c>
      <c r="AA20" s="15" t="n">
        <f aca="false">IF($L20,P20/P$38*LN(P20/P$38),0)</f>
        <v>-0.000237481455589964</v>
      </c>
      <c r="AB20" s="15" t="n">
        <f aca="false">IF($L20,Q20/Q$38*LN(Q20/Q$38),0)</f>
        <v>-1.88758665381909E-006</v>
      </c>
      <c r="AC20" s="15" t="n">
        <f aca="false">IF($L20,R20/R$38*LN(R20/R$38),0)</f>
        <v>-0.140927668973679</v>
      </c>
      <c r="AD20" s="15" t="n">
        <f aca="false">IF($L20,S20/S$38*LN(S20/S$38),0)</f>
        <v>-0.128884093301525</v>
      </c>
      <c r="AE20" s="15" t="n">
        <f aca="false">IF($L20,T20/T$38*LN(T20/T$38),0)</f>
        <v>-0.15332395340512</v>
      </c>
      <c r="AF20" s="15" t="n">
        <f aca="false">IF($L20,U20/U$38*LN(U20/U$38),0)</f>
        <v>-0.1037501914973</v>
      </c>
      <c r="AG20" s="15" t="n">
        <f aca="false">IF($L20,V20/V$38*LN(V20/V$38),0)</f>
        <v>-2.11138376284076E-006</v>
      </c>
      <c r="AH20" s="15" t="n">
        <f aca="false">IF($L20,W20/W$38*LN(W20/W$38),0)</f>
        <v>-0.0402243494416485</v>
      </c>
    </row>
    <row r="21" customFormat="false" ht="15" hidden="false" customHeight="false" outlineLevel="0" collapsed="false">
      <c r="A21" s="17" t="str">
        <f aca="false">Показатели!A11&amp;" Д"</f>
        <v>фреза 0.08×2.7 Д</v>
      </c>
      <c r="B21" s="25" t="n">
        <f aca="false">Показатели!N11</f>
        <v>392.298523954048</v>
      </c>
      <c r="C21" s="25" t="n">
        <f aca="false">Показатели!O11</f>
        <v>451.143302547155</v>
      </c>
      <c r="D21" s="25" t="n">
        <f aca="false">Показатели!P11</f>
        <v>1</v>
      </c>
      <c r="E21" s="25" t="n">
        <f aca="false">Показатели!Q11</f>
        <v>5.26544508970218</v>
      </c>
      <c r="F21" s="25" t="n">
        <f aca="false">Показатели!R11</f>
        <v>45.2855607041208</v>
      </c>
      <c r="G21" s="25" t="n">
        <f aca="false">Показатели!S11</f>
        <v>12467.2621290832</v>
      </c>
      <c r="H21" s="25" t="n">
        <f aca="false">Показатели!T11</f>
        <v>14497.5669634304</v>
      </c>
      <c r="I21" s="25" t="n">
        <f aca="false">Показатели!U11</f>
        <v>29.2857951029763</v>
      </c>
      <c r="J21" s="25" t="n">
        <f aca="false">Показатели!V11</f>
        <v>29.2857951029763</v>
      </c>
      <c r="K21" s="25" t="n">
        <f aca="false">Показатели!W11</f>
        <v>0.906440659685928</v>
      </c>
      <c r="L21" s="26" t="b">
        <f aca="false">Показатели!B11</f>
        <v>1</v>
      </c>
      <c r="N21" s="15" t="n">
        <f aca="false">IF($L21,IF(B$37&gt;B$36,(B21-B$36)/(B$37-B$36),0)+0.000001,0)</f>
        <v>0.538581548857082</v>
      </c>
      <c r="O21" s="15" t="n">
        <f aca="false">IF($L21,IF(C$37&gt;C$36,(C21-C$36)/(C$37-C$36),0)+0.000001,0)</f>
        <v>0.450735322438813</v>
      </c>
      <c r="P21" s="15" t="n">
        <f aca="false">IF($L21,IF(D$37&gt;D$36,(D21-D$36)/(D$37-D$36),0)+0.000001,0)</f>
        <v>1.000001</v>
      </c>
      <c r="Q21" s="15" t="n">
        <f aca="false">IF($L21,IF(E$37&gt;E$36,(E21-E$36)/(E$37-E$36),0)+0.000001,0)</f>
        <v>1E-006</v>
      </c>
      <c r="R21" s="15" t="n">
        <f aca="false">IF($L21,IF(F$37&gt;F$36,(F21-F$36)/(F$37-F$36),0)+0.000001,0)</f>
        <v>0.760144316252276</v>
      </c>
      <c r="S21" s="15" t="n">
        <f aca="false">IF($L21,IF(G$37&gt;G$36,(G21-G$36)/(G$37-G$36),0)+0.000001,0)</f>
        <v>0.480117079704036</v>
      </c>
      <c r="T21" s="15" t="n">
        <f aca="false">IF($L21,IF(H$37&gt;H$36,(H21-H$36)/(H$37-H$36),0)+0.000001,0)</f>
        <v>0.376671973828433</v>
      </c>
      <c r="U21" s="15" t="n">
        <f aca="false">IF($L21,IF(I$37&gt;I$36,(I21-I$36)/(I$37-I$36),0)+0.000001,0)</f>
        <v>0.44342391400031</v>
      </c>
      <c r="V21" s="15" t="n">
        <f aca="false">IF($L21,IF(J$37&gt;J$36,(J21-J$36)/(J$37-J$36),0)+0.000001,0)</f>
        <v>0.593907709635431</v>
      </c>
      <c r="W21" s="15" t="n">
        <f aca="false">IF($L21,IF(K$37&gt;K$36,(K21-K$36)/(K$37-K$36),0)+0.000001,0)</f>
        <v>0.889878530403289</v>
      </c>
      <c r="Y21" s="15" t="n">
        <f aca="false">IF($L21,N21/N$38*LN(N21/N$38),0)</f>
        <v>-0.181872699811671</v>
      </c>
      <c r="Z21" s="15" t="n">
        <f aca="false">IF($L21,O21/O$38*LN(O21/O$38),0)</f>
        <v>-0.152686379202664</v>
      </c>
      <c r="AA21" s="15" t="n">
        <f aca="false">IF($L21,P21/P$38*LN(P21/P$38),0)</f>
        <v>-0.196525298562203</v>
      </c>
      <c r="AB21" s="15" t="n">
        <f aca="false">IF($L21,Q21/Q$38*LN(Q21/Q$38),0)</f>
        <v>-1.88758665381909E-006</v>
      </c>
      <c r="AC21" s="15" t="n">
        <f aca="false">IF($L21,R21/R$38*LN(R21/R$38),0)</f>
        <v>-0.154102239570701</v>
      </c>
      <c r="AD21" s="15" t="n">
        <f aca="false">IF($L21,S21/S$38*LN(S21/S$38),0)</f>
        <v>-0.151356734361457</v>
      </c>
      <c r="AE21" s="15" t="n">
        <f aca="false">IF($L21,T21/T$38*LN(T21/T$38),0)</f>
        <v>-0.126752214726792</v>
      </c>
      <c r="AF21" s="15" t="n">
        <f aca="false">IF($L21,U21/U$38*LN(U21/U$38),0)</f>
        <v>-0.150303502751458</v>
      </c>
      <c r="AG21" s="15" t="n">
        <f aca="false">IF($L21,V21/V$38*LN(V21/V$38),0)</f>
        <v>-0.200855507948246</v>
      </c>
      <c r="AH21" s="15" t="n">
        <f aca="false">IF($L21,W21/W$38*LN(W21/W$38),0)</f>
        <v>-0.194259231474343</v>
      </c>
    </row>
    <row r="22" customFormat="false" ht="15" hidden="false" customHeight="false" outlineLevel="0" collapsed="false">
      <c r="A22" s="17" t="str">
        <f aca="false">Показатели!A12&amp;" ЭТ"</f>
        <v>фреза 0.08×3.6 ЭТ</v>
      </c>
      <c r="B22" s="25" t="n">
        <f aca="false">Показатели!D12</f>
        <v>120.099442746048</v>
      </c>
      <c r="C22" s="25" t="n">
        <f aca="false">Показатели!E12</f>
        <v>300.24860686512</v>
      </c>
      <c r="D22" s="25" t="n">
        <f aca="false">Показатели!F12</f>
        <v>0.265351641670773</v>
      </c>
      <c r="E22" s="25" t="n">
        <f aca="false">Показатели!G12</f>
        <v>5.26544508970218</v>
      </c>
      <c r="F22" s="25" t="n">
        <f aca="false">Показатели!H12</f>
        <v>27.8931546345401</v>
      </c>
      <c r="G22" s="25" t="n">
        <f aca="false">Показатели!I12</f>
        <v>8802.14329637842</v>
      </c>
      <c r="H22" s="25" t="n">
        <f aca="false">Показатели!J12</f>
        <v>12912.0745942262</v>
      </c>
      <c r="I22" s="25" t="n">
        <f aca="false">Показатели!K12</f>
        <v>20.2167395289181</v>
      </c>
      <c r="J22" s="25" t="n">
        <f aca="false">Показатели!L12</f>
        <v>0</v>
      </c>
      <c r="K22" s="25" t="n">
        <f aca="false">Показатели!M12</f>
        <v>0.2007085058207</v>
      </c>
      <c r="L22" s="26" t="b">
        <f aca="false">Показатели!B12</f>
        <v>1</v>
      </c>
      <c r="N22" s="15" t="n">
        <f aca="false">IF($L22,IF(B$37&gt;B$36,(B22-B$36)/(B$37-B$36),0)+0.000001,0)</f>
        <v>0.0703525613164497</v>
      </c>
      <c r="O22" s="15" t="n">
        <f aca="false">IF($L22,IF(C$37&gt;C$36,(C22-C$36)/(C$37-C$36),0)+0.000001,0)</f>
        <v>0.182055941730694</v>
      </c>
      <c r="P22" s="15" t="n">
        <f aca="false">IF($L22,IF(D$37&gt;D$36,(D22-D$36)/(D$37-D$36),0)+0.000001,0)</f>
        <v>0.00104551193899563</v>
      </c>
      <c r="Q22" s="15" t="n">
        <f aca="false">IF($L22,IF(E$37&gt;E$36,(E22-E$36)/(E$37-E$36),0)+0.000001,0)</f>
        <v>1E-006</v>
      </c>
      <c r="R22" s="15" t="n">
        <f aca="false">IF($L22,IF(F$37&gt;F$36,(F22-F$36)/(F$37-F$36),0)+0.000001,0)</f>
        <v>0.450208807172996</v>
      </c>
      <c r="S22" s="15" t="n">
        <f aca="false">IF($L22,IF(G$37&gt;G$36,(G22-G$36)/(G$37-G$36),0)+0.000001,0)</f>
        <v>0.191556948308059</v>
      </c>
      <c r="T22" s="15" t="n">
        <f aca="false">IF($L22,IF(H$37&gt;H$36,(H22-H$36)/(H$37-H$36),0)+0.000001,0)</f>
        <v>0.281144415475314</v>
      </c>
      <c r="U22" s="15" t="n">
        <f aca="false">IF($L22,IF(I$37&gt;I$36,(I22-I$36)/(I$37-I$36),0)+0.000001,0)</f>
        <v>0.191352972137913</v>
      </c>
      <c r="V22" s="15" t="n">
        <f aca="false">IF($L22,IF(J$37&gt;J$36,(J22-J$36)/(J$37-J$36),0)+0.000001,0)</f>
        <v>1E-006</v>
      </c>
      <c r="W22" s="15" t="n">
        <f aca="false">IF($L22,IF(K$37&gt;K$36,(K22-K$36)/(K$37-K$36),0)+0.000001,0)</f>
        <v>0.0592082050615887</v>
      </c>
      <c r="Y22" s="15" t="n">
        <f aca="false">IF($L22,N22/N$38*LN(N22/N$38),0)</f>
        <v>-0.041691122728386</v>
      </c>
      <c r="Z22" s="15" t="n">
        <f aca="false">IF($L22,O22/O$38*LN(O22/O$38),0)</f>
        <v>-0.0805157993476759</v>
      </c>
      <c r="AA22" s="15" t="n">
        <f aca="false">IF($L22,P22/P$38*LN(P22/P$38),0)</f>
        <v>-0.000753876536585482</v>
      </c>
      <c r="AB22" s="15" t="n">
        <f aca="false">IF($L22,Q22/Q$38*LN(Q22/Q$38),0)</f>
        <v>-1.88758665381909E-006</v>
      </c>
      <c r="AC22" s="15" t="n">
        <f aca="false">IF($L22,R22/R$38*LN(R22/R$38),0)</f>
        <v>-0.10745931510355</v>
      </c>
      <c r="AD22" s="15" t="n">
        <f aca="false">IF($L22,S22/S$38*LN(S22/S$38),0)</f>
        <v>-0.0790078371242826</v>
      </c>
      <c r="AE22" s="15" t="n">
        <f aca="false">IF($L22,T22/T$38*LN(T22/T$38),0)</f>
        <v>-0.103143550375642</v>
      </c>
      <c r="AF22" s="15" t="n">
        <f aca="false">IF($L22,U22/U$38*LN(U22/U$38),0)</f>
        <v>-0.0830885283614631</v>
      </c>
      <c r="AG22" s="15" t="n">
        <f aca="false">IF($L22,V22/V$38*LN(V22/V$38),0)</f>
        <v>-2.11138376284076E-006</v>
      </c>
      <c r="AH22" s="15" t="n">
        <f aca="false">IF($L22,W22/W$38*LN(W22/W$38),0)</f>
        <v>-0.0264472366922362</v>
      </c>
    </row>
    <row r="23" customFormat="false" ht="15" hidden="false" customHeight="false" outlineLevel="0" collapsed="false">
      <c r="A23" s="17" t="str">
        <f aca="false">Показатели!A12&amp;" Д"</f>
        <v>фреза 0.08×3.6 Д</v>
      </c>
      <c r="B23" s="25" t="n">
        <f aca="false">Показатели!N12</f>
        <v>328.601331055778</v>
      </c>
      <c r="C23" s="25" t="n">
        <f aca="false">Показатели!O12</f>
        <v>377.891530714145</v>
      </c>
      <c r="D23" s="25" t="n">
        <f aca="false">Показатели!P12</f>
        <v>1</v>
      </c>
      <c r="E23" s="25" t="n">
        <f aca="false">Показатели!Q12</f>
        <v>5.26544508970218</v>
      </c>
      <c r="F23" s="25" t="n">
        <f aca="false">Показатели!R12</f>
        <v>34.4317799888079</v>
      </c>
      <c r="G23" s="25" t="n">
        <f aca="false">Показатели!S12</f>
        <v>9843.01413968407</v>
      </c>
      <c r="H23" s="25" t="n">
        <f aca="false">Показатели!T12</f>
        <v>11403.551963303</v>
      </c>
      <c r="I23" s="25" t="n">
        <f aca="false">Показатели!U12</f>
        <v>24.5306843239411</v>
      </c>
      <c r="J23" s="25" t="n">
        <f aca="false">Показатели!V12</f>
        <v>24.5306843239411</v>
      </c>
      <c r="K23" s="25" t="n">
        <f aca="false">Показатели!W12</f>
        <v>0.832554696142582</v>
      </c>
      <c r="L23" s="26" t="b">
        <f aca="false">Показатели!B12</f>
        <v>1</v>
      </c>
      <c r="N23" s="15" t="n">
        <f aca="false">IF($L23,IF(B$37&gt;B$36,(B23-B$36)/(B$37-B$36),0)+0.000001,0)</f>
        <v>0.429011479745987</v>
      </c>
      <c r="O23" s="15" t="n">
        <f aca="false">IF($L23,IF(C$37&gt;C$36,(C23-C$36)/(C$37-C$36),0)+0.000001,0)</f>
        <v>0.320305020678321</v>
      </c>
      <c r="P23" s="15" t="n">
        <f aca="false">IF($L23,IF(D$37&gt;D$36,(D23-D$36)/(D$37-D$36),0)+0.000001,0)</f>
        <v>1.000001</v>
      </c>
      <c r="Q23" s="15" t="n">
        <f aca="false">IF($L23,IF(E$37&gt;E$36,(E23-E$36)/(E$37-E$36),0)+0.000001,0)</f>
        <v>1E-006</v>
      </c>
      <c r="R23" s="15" t="n">
        <f aca="false">IF($L23,IF(F$37&gt;F$36,(F23-F$36)/(F$37-F$36),0)+0.000001,0)</f>
        <v>0.566728176013981</v>
      </c>
      <c r="S23" s="15" t="n">
        <f aca="false">IF($L23,IF(G$37&gt;G$36,(G23-G$36)/(G$37-G$36),0)+0.000001,0)</f>
        <v>0.273506222266216</v>
      </c>
      <c r="T23" s="15" t="n">
        <f aca="false">IF($L23,IF(H$37&gt;H$36,(H23-H$36)/(H$37-H$36),0)+0.000001,0)</f>
        <v>0.190254363620409</v>
      </c>
      <c r="U23" s="15" t="n">
        <f aca="false">IF($L23,IF(I$37&gt;I$36,(I23-I$36)/(I$37-I$36),0)+0.000001,0)</f>
        <v>0.311257422909433</v>
      </c>
      <c r="V23" s="15" t="n">
        <f aca="false">IF($L23,IF(J$37&gt;J$36,(J23-J$36)/(J$37-J$36),0)+0.000001,0)</f>
        <v>0.497475559277262</v>
      </c>
      <c r="W23" s="15" t="n">
        <f aca="false">IF($L23,IF(K$37&gt;K$36,(K23-K$36)/(K$37-K$36),0)+0.000001,0)</f>
        <v>0.802912282601496</v>
      </c>
      <c r="Y23" s="15" t="n">
        <f aca="false">IF($L23,N23/N$38*LN(N23/N$38),0)</f>
        <v>-0.157093127406529</v>
      </c>
      <c r="Z23" s="15" t="n">
        <f aca="false">IF($L23,O23/O$38*LN(O23/O$38),0)</f>
        <v>-0.120996230365002</v>
      </c>
      <c r="AA23" s="15" t="n">
        <f aca="false">IF($L23,P23/P$38*LN(P23/P$38),0)</f>
        <v>-0.196525298562203</v>
      </c>
      <c r="AB23" s="15" t="n">
        <f aca="false">IF($L23,Q23/Q$38*LN(Q23/Q$38),0)</f>
        <v>-1.88758665381909E-006</v>
      </c>
      <c r="AC23" s="15" t="n">
        <f aca="false">IF($L23,R23/R$38*LN(R23/R$38),0)</f>
        <v>-0.12631579158713</v>
      </c>
      <c r="AD23" s="15" t="n">
        <f aca="false">IF($L23,S23/S$38*LN(S23/S$38),0)</f>
        <v>-0.102503630020377</v>
      </c>
      <c r="AE23" s="15" t="n">
        <f aca="false">IF($L23,T23/T$38*LN(T23/T$38),0)</f>
        <v>-0.0775112361361974</v>
      </c>
      <c r="AF23" s="15" t="n">
        <f aca="false">IF($L23,U23/U$38*LN(U23/U$38),0)</f>
        <v>-0.117989668152555</v>
      </c>
      <c r="AG23" s="15" t="n">
        <f aca="false">IF($L23,V23/V$38*LN(V23/V$38),0)</f>
        <v>-0.179998948611335</v>
      </c>
      <c r="AH23" s="15" t="n">
        <f aca="false">IF($L23,W23/W$38*LN(W23/W$38),0)</f>
        <v>-0.182233179785911</v>
      </c>
    </row>
    <row r="24" customFormat="false" ht="15" hidden="false" customHeight="false" outlineLevel="0" collapsed="false">
      <c r="A24" s="17" t="str">
        <f aca="false">Показатели!A13&amp;" ЭТ"</f>
        <v>фреза 0.12×1.8 ЭТ</v>
      </c>
      <c r="B24" s="25" t="n">
        <f aca="false">Показатели!D13</f>
        <v>201.869680646804</v>
      </c>
      <c r="C24" s="25" t="n">
        <f aca="false">Показатели!E13</f>
        <v>504.674201617009</v>
      </c>
      <c r="D24" s="25" t="n">
        <f aca="false">Показатели!F13</f>
        <v>0.26490370048894</v>
      </c>
      <c r="E24" s="25" t="n">
        <f aca="false">Показатели!G13</f>
        <v>5.26544508970218</v>
      </c>
      <c r="F24" s="25" t="n">
        <f aca="false">Показатели!H13</f>
        <v>39.3746724420994</v>
      </c>
      <c r="G24" s="25" t="n">
        <f aca="false">Показатели!I13</f>
        <v>16413.2433728453</v>
      </c>
      <c r="H24" s="25" t="n">
        <f aca="false">Показатели!J13</f>
        <v>24234.7991712992</v>
      </c>
      <c r="I24" s="25" t="n">
        <f aca="false">Показатели!K13</f>
        <v>33.9813962422119</v>
      </c>
      <c r="J24" s="25" t="n">
        <f aca="false">Показатели!L13</f>
        <v>0</v>
      </c>
      <c r="K24" s="25" t="n">
        <f aca="false">Показатели!M13</f>
        <v>0.229223808968912</v>
      </c>
      <c r="L24" s="26" t="b">
        <f aca="false">Показатели!B13</f>
        <v>1</v>
      </c>
      <c r="N24" s="15" t="n">
        <f aca="false">IF($L24,IF(B$37&gt;B$36,(B24-B$36)/(B$37-B$36),0)+0.000001,0)</f>
        <v>0.211011359771285</v>
      </c>
      <c r="O24" s="15" t="n">
        <f aca="false">IF($L24,IF(C$37&gt;C$36,(C24-C$36)/(C$37-C$36),0)+0.000001,0)</f>
        <v>0.546051123606167</v>
      </c>
      <c r="P24" s="15" t="n">
        <f aca="false">IF($L24,IF(D$37&gt;D$36,(D24-D$36)/(D$37-D$36),0)+0.000001,0)</f>
        <v>0.000436413318074089</v>
      </c>
      <c r="Q24" s="15" t="n">
        <f aca="false">IF($L24,IF(E$37&gt;E$36,(E24-E$36)/(E$37-E$36),0)+0.000001,0)</f>
        <v>1E-006</v>
      </c>
      <c r="R24" s="15" t="n">
        <f aca="false">IF($L24,IF(F$37&gt;F$36,(F24-F$36)/(F$37-F$36),0)+0.000001,0)</f>
        <v>0.654811324642536</v>
      </c>
      <c r="S24" s="15" t="n">
        <f aca="false">IF($L24,IF(G$37&gt;G$36,(G24-G$36)/(G$37-G$36),0)+0.000001,0)</f>
        <v>0.790789916837058</v>
      </c>
      <c r="T24" s="15" t="n">
        <f aca="false">IF($L24,IF(H$37&gt;H$36,(H24-H$36)/(H$37-H$36),0)+0.000001,0)</f>
        <v>0.963350305432104</v>
      </c>
      <c r="U24" s="15" t="n">
        <f aca="false">IF($L24,IF(I$37&gt;I$36,(I24-I$36)/(I$37-I$36),0)+0.000001,0)</f>
        <v>0.573936357342592</v>
      </c>
      <c r="V24" s="15" t="n">
        <f aca="false">IF($L24,IF(J$37&gt;J$36,(J24-J$36)/(J$37-J$36),0)+0.000001,0)</f>
        <v>1E-006</v>
      </c>
      <c r="W24" s="15" t="n">
        <f aca="false">IF($L24,IF(K$37&gt;K$36,(K24-K$36)/(K$37-K$36),0)+0.000001,0)</f>
        <v>0.0927716696332566</v>
      </c>
      <c r="Y24" s="15" t="n">
        <f aca="false">IF($L24,N24/N$38*LN(N24/N$38),0)</f>
        <v>-0.0960187945435619</v>
      </c>
      <c r="Z24" s="15" t="n">
        <f aca="false">IF($L24,O24/O$38*LN(O24/O$38),0)</f>
        <v>-0.173014491763121</v>
      </c>
      <c r="AA24" s="15" t="n">
        <f aca="false">IF($L24,P24/P$38*LN(P24/P$38),0)</f>
        <v>-0.000343820148372454</v>
      </c>
      <c r="AB24" s="15" t="n">
        <f aca="false">IF($L24,Q24/Q$38*LN(Q24/Q$38),0)</f>
        <v>-1.88758665381909E-006</v>
      </c>
      <c r="AC24" s="15" t="n">
        <f aca="false">IF($L24,R24/R$38*LN(R24/R$38),0)</f>
        <v>-0.139453818496863</v>
      </c>
      <c r="AD24" s="15" t="n">
        <f aca="false">IF($L24,S24/S$38*LN(S24/S$38),0)</f>
        <v>-0.207552289102477</v>
      </c>
      <c r="AE24" s="15" t="n">
        <f aca="false">IF($L24,T24/T$38*LN(T24/T$38),0)</f>
        <v>-0.230264313237454</v>
      </c>
      <c r="AF24" s="15" t="n">
        <f aca="false">IF($L24,U24/U$38*LN(U24/U$38),0)</f>
        <v>-0.177759216230949</v>
      </c>
      <c r="AG24" s="15" t="n">
        <f aca="false">IF($L24,V24/V$38*LN(V24/V$38),0)</f>
        <v>-2.11138376284076E-006</v>
      </c>
      <c r="AH24" s="15" t="n">
        <f aca="false">IF($L24,W24/W$38*LN(W24/W$38),0)</f>
        <v>-0.0379284258977884</v>
      </c>
    </row>
    <row r="25" customFormat="false" ht="15" hidden="false" customHeight="false" outlineLevel="0" collapsed="false">
      <c r="A25" s="17" t="str">
        <f aca="false">Показатели!A13&amp;" Д"</f>
        <v>фреза 0.12×1.8 Д</v>
      </c>
      <c r="B25" s="25" t="n">
        <f aca="false">Показатели!N13</f>
        <v>583.841408031089</v>
      </c>
      <c r="C25" s="25" t="n">
        <f aca="false">Показатели!O13</f>
        <v>671.417619235752</v>
      </c>
      <c r="D25" s="25" t="n">
        <f aca="false">Показатели!P13</f>
        <v>1</v>
      </c>
      <c r="E25" s="25" t="n">
        <f aca="false">Показатели!Q13</f>
        <v>5.26544508970218</v>
      </c>
      <c r="F25" s="25" t="n">
        <f aca="false">Показатели!R13</f>
        <v>44.3922122191848</v>
      </c>
      <c r="G25" s="25" t="n">
        <f aca="false">Показатели!S13</f>
        <v>18332.7843642746</v>
      </c>
      <c r="H25" s="25" t="n">
        <f aca="false">Показатели!T13</f>
        <v>21302.6232200786</v>
      </c>
      <c r="I25" s="25" t="n">
        <f aca="false">Показатели!U13</f>
        <v>43.5848182039921</v>
      </c>
      <c r="J25" s="25" t="n">
        <f aca="false">Показатели!V13</f>
        <v>43.5848182039921</v>
      </c>
      <c r="K25" s="25" t="n">
        <f aca="false">Показатели!W13</f>
        <v>0.891057900763943</v>
      </c>
      <c r="L25" s="26" t="b">
        <f aca="false">Показатели!B13</f>
        <v>1</v>
      </c>
      <c r="N25" s="15" t="n">
        <f aca="false">IF($L25,IF(B$37&gt;B$36,(B25-B$36)/(B$37-B$36),0)+0.000001,0)</f>
        <v>0.868068078657204</v>
      </c>
      <c r="O25" s="15" t="n">
        <f aca="false">IF($L25,IF(C$37&gt;C$36,(C25-C$36)/(C$37-C$36),0)+0.000001,0)</f>
        <v>0.842950348462702</v>
      </c>
      <c r="P25" s="15" t="n">
        <f aca="false">IF($L25,IF(D$37&gt;D$36,(D25-D$36)/(D$37-D$36),0)+0.000001,0)</f>
        <v>1.000001</v>
      </c>
      <c r="Q25" s="15" t="n">
        <f aca="false">IF($L25,IF(E$37&gt;E$36,(E25-E$36)/(E$37-E$36),0)+0.000001,0)</f>
        <v>1E-006</v>
      </c>
      <c r="R25" s="15" t="n">
        <f aca="false">IF($L25,IF(F$37&gt;F$36,(F25-F$36)/(F$37-F$36),0)+0.000001,0)</f>
        <v>0.744224700739843</v>
      </c>
      <c r="S25" s="15" t="n">
        <f aca="false">IF($L25,IF(G$37&gt;G$36,(G25-G$36)/(G$37-G$36),0)+0.000001,0)</f>
        <v>0.941918168331718</v>
      </c>
      <c r="T25" s="15" t="n">
        <f aca="false">IF($L25,IF(H$37&gt;H$36,(H25-H$36)/(H$37-H$36),0)+0.000001,0)</f>
        <v>0.786683665640933</v>
      </c>
      <c r="U25" s="15" t="n">
        <f aca="false">IF($L25,IF(I$37&gt;I$36,(I25-I$36)/(I$37-I$36),0)+0.000001,0)</f>
        <v>0.840859809210331</v>
      </c>
      <c r="V25" s="15" t="n">
        <f aca="false">IF($L25,IF(J$37&gt;J$36,(J25-J$36)/(J$37-J$36),0)+0.000001,0)</f>
        <v>0.883887398800923</v>
      </c>
      <c r="W25" s="15" t="n">
        <f aca="false">IF($L25,IF(K$37&gt;K$36,(K25-K$36)/(K$37-K$36),0)+0.000001,0)</f>
        <v>0.871772509176405</v>
      </c>
      <c r="Y25" s="15" t="n">
        <f aca="false">IF($L25,N25/N$38*LN(N25/N$38),0)</f>
        <v>-0.241242817773987</v>
      </c>
      <c r="Z25" s="15" t="n">
        <f aca="false">IF($L25,O25/O$38*LN(O25/O$38),0)</f>
        <v>-0.225296646540838</v>
      </c>
      <c r="AA25" s="15" t="n">
        <f aca="false">IF($L25,P25/P$38*LN(P25/P$38),0)</f>
        <v>-0.196525298562203</v>
      </c>
      <c r="AB25" s="15" t="n">
        <f aca="false">IF($L25,Q25/Q$38*LN(Q25/Q$38),0)</f>
        <v>-1.88758665381909E-006</v>
      </c>
      <c r="AC25" s="15" t="n">
        <f aca="false">IF($L25,R25/R$38*LN(R25/R$38),0)</f>
        <v>-0.15195629480148</v>
      </c>
      <c r="AD25" s="15" t="n">
        <f aca="false">IF($L25,S25/S$38*LN(S25/S$38),0)</f>
        <v>-0.229791692631923</v>
      </c>
      <c r="AE25" s="15" t="n">
        <f aca="false">IF($L25,T25/T$38*LN(T25/T$38),0)</f>
        <v>-0.204581217879295</v>
      </c>
      <c r="AF25" s="15" t="n">
        <f aca="false">IF($L25,U25/U$38*LN(U25/U$38),0)</f>
        <v>-0.224032527988487</v>
      </c>
      <c r="AG25" s="15" t="n">
        <f aca="false">IF($L25,V25/V$38*LN(V25/V$38),0)</f>
        <v>-0.252050466510968</v>
      </c>
      <c r="AH25" s="15" t="n">
        <f aca="false">IF($L25,W25/W$38*LN(W25/W$38),0)</f>
        <v>-0.191816941438901</v>
      </c>
    </row>
    <row r="26" customFormat="false" ht="15" hidden="false" customHeight="false" outlineLevel="0" collapsed="false">
      <c r="A26" s="17" t="str">
        <f aca="false">Показатели!A14&amp;" ЭТ"</f>
        <v>фреза 0.12×2.7 ЭТ</v>
      </c>
      <c r="B26" s="25" t="n">
        <f aca="false">Показатели!D14</f>
        <v>176.908131392237</v>
      </c>
      <c r="C26" s="25" t="n">
        <f aca="false">Показатели!E14</f>
        <v>442.270328480593</v>
      </c>
      <c r="D26" s="25" t="n">
        <f aca="false">Показатели!F14</f>
        <v>0.265922684553204</v>
      </c>
      <c r="E26" s="25" t="n">
        <f aca="false">Показатели!G14</f>
        <v>5.26544508970218</v>
      </c>
      <c r="F26" s="25" t="n">
        <f aca="false">Показатели!H14</f>
        <v>18.9001593018718</v>
      </c>
      <c r="G26" s="25" t="n">
        <f aca="false">Показатели!I14</f>
        <v>11713.4191737418</v>
      </c>
      <c r="H26" s="25" t="n">
        <f aca="false">Показатели!J14</f>
        <v>17130.7284145158</v>
      </c>
      <c r="I26" s="25" t="n">
        <f aca="false">Показатели!K14</f>
        <v>29.7795354510266</v>
      </c>
      <c r="J26" s="25" t="n">
        <f aca="false">Показатели!L14</f>
        <v>0</v>
      </c>
      <c r="K26" s="25" t="n">
        <f aca="false">Показатели!M14</f>
        <v>0.176053512565545</v>
      </c>
      <c r="L26" s="26" t="b">
        <f aca="false">Показатели!B14</f>
        <v>1</v>
      </c>
      <c r="N26" s="15" t="n">
        <f aca="false">IF($L26,IF(B$37&gt;B$36,(B26-B$36)/(B$37-B$36),0)+0.000001,0)</f>
        <v>0.168073224627544</v>
      </c>
      <c r="O26" s="15" t="n">
        <f aca="false">IF($L26,IF(C$37&gt;C$36,(C26-C$36)/(C$37-C$36),0)+0.000001,0)</f>
        <v>0.434936323232993</v>
      </c>
      <c r="P26" s="15" t="n">
        <f aca="false">IF($L26,IF(D$37&gt;D$36,(D26-D$36)/(D$37-D$36),0)+0.000001,0)</f>
        <v>0.00182200101006533</v>
      </c>
      <c r="Q26" s="15" t="n">
        <f aca="false">IF($L26,IF(E$37&gt;E$36,(E26-E$36)/(E$37-E$36),0)+0.000001,0)</f>
        <v>1E-006</v>
      </c>
      <c r="R26" s="15" t="n">
        <f aca="false">IF($L26,IF(F$37&gt;F$36,(F26-F$36)/(F$37-F$36),0)+0.000001,0)</f>
        <v>0.289952165542885</v>
      </c>
      <c r="S26" s="15" t="n">
        <f aca="false">IF($L26,IF(G$37&gt;G$36,(G26-G$36)/(G$37-G$36),0)+0.000001,0)</f>
        <v>0.420765928438715</v>
      </c>
      <c r="T26" s="15" t="n">
        <f aca="false">IF($L26,IF(H$37&gt;H$36,(H26-H$36)/(H$37-H$36),0)+0.000001,0)</f>
        <v>0.535322680105878</v>
      </c>
      <c r="U26" s="15" t="n">
        <f aca="false">IF($L26,IF(I$37&gt;I$36,(I26-I$36)/(I$37-I$36),0)+0.000001,0)</f>
        <v>0.457147238722735</v>
      </c>
      <c r="V26" s="15" t="n">
        <f aca="false">IF($L26,IF(J$37&gt;J$36,(J26-J$36)/(J$37-J$36),0)+0.000001,0)</f>
        <v>1E-006</v>
      </c>
      <c r="W26" s="15" t="n">
        <f aca="false">IF($L26,IF(K$37&gt;K$36,(K26-K$36)/(K$37-K$36),0)+0.000001,0)</f>
        <v>0.0301884542164706</v>
      </c>
      <c r="Y26" s="15" t="n">
        <f aca="false">IF($L26,N26/N$38*LN(N26/N$38),0)</f>
        <v>-0.0812691756990127</v>
      </c>
      <c r="Z26" s="15" t="n">
        <f aca="false">IF($L26,O26/O$38*LN(O26/O$38),0)</f>
        <v>-0.149106367710763</v>
      </c>
      <c r="AA26" s="15" t="n">
        <f aca="false">IF($L26,P26/P$38*LN(P26/P$38),0)</f>
        <v>-0.00123642847447727</v>
      </c>
      <c r="AB26" s="15" t="n">
        <f aca="false">IF($L26,Q26/Q$38*LN(Q26/Q$38),0)</f>
        <v>-1.88758665381909E-006</v>
      </c>
      <c r="AC26" s="15" t="n">
        <f aca="false">IF($L26,R26/R$38*LN(R26/R$38),0)</f>
        <v>-0.0779665846396086</v>
      </c>
      <c r="AD26" s="15" t="n">
        <f aca="false">IF($L26,S26/S$38*LN(S26/S$38),0)</f>
        <v>-0.13851971919835</v>
      </c>
      <c r="AE26" s="15" t="n">
        <f aca="false">IF($L26,T26/T$38*LN(T26/T$38),0)</f>
        <v>-0.160606017393292</v>
      </c>
      <c r="AF26" s="15" t="n">
        <f aca="false">IF($L26,U26/U$38*LN(U26/U$38),0)</f>
        <v>-0.153375899195698</v>
      </c>
      <c r="AG26" s="15" t="n">
        <f aca="false">IF($L26,V26/V$38*LN(V26/V$38),0)</f>
        <v>-2.11138376284076E-006</v>
      </c>
      <c r="AH26" s="15" t="n">
        <f aca="false">IF($L26,W26/W$38*LN(W26/W$38),0)</f>
        <v>-0.0151983366129402</v>
      </c>
    </row>
    <row r="27" customFormat="false" ht="15" hidden="false" customHeight="false" outlineLevel="0" collapsed="false">
      <c r="A27" s="17" t="str">
        <f aca="false">Показатели!A14&amp;" Д"</f>
        <v>фреза 0.12×2.7 Д</v>
      </c>
      <c r="B27" s="25" t="n">
        <f aca="false">Показатели!N14</f>
        <v>463.562659903618</v>
      </c>
      <c r="C27" s="25" t="n">
        <f aca="false">Показатели!O14</f>
        <v>533.09705888916</v>
      </c>
      <c r="D27" s="25" t="n">
        <f aca="false">Показатели!P14</f>
        <v>1</v>
      </c>
      <c r="E27" s="25" t="n">
        <f aca="false">Показатели!Q14</f>
        <v>5.26544508970218</v>
      </c>
      <c r="F27" s="25" t="n">
        <f aca="false">Показатели!R14</f>
        <v>25.7103164396667</v>
      </c>
      <c r="G27" s="25" t="n">
        <f aca="false">Показатели!S14</f>
        <v>13152.7331866263</v>
      </c>
      <c r="H27" s="25" t="n">
        <f aca="false">Показатели!T14</f>
        <v>15183.0380209735</v>
      </c>
      <c r="I27" s="25" t="n">
        <f aca="false">Показатели!U14</f>
        <v>34.6057918813843</v>
      </c>
      <c r="J27" s="25" t="n">
        <f aca="false">Показатели!V14</f>
        <v>34.6057918813843</v>
      </c>
      <c r="K27" s="25" t="n">
        <f aca="false">Показатели!W14</f>
        <v>0.768712522125407</v>
      </c>
      <c r="L27" s="26" t="b">
        <f aca="false">Показатели!B14</f>
        <v>1</v>
      </c>
      <c r="N27" s="15" t="n">
        <f aca="false">IF($L27,IF(B$37&gt;B$36,(B27-B$36)/(B$37-B$36),0)+0.000001,0)</f>
        <v>0.661168054570255</v>
      </c>
      <c r="O27" s="15" t="n">
        <f aca="false">IF($L27,IF(C$37&gt;C$36,(C27-C$36)/(C$37-C$36),0)+0.000001,0)</f>
        <v>0.596660163608002</v>
      </c>
      <c r="P27" s="15" t="n">
        <f aca="false">IF($L27,IF(D$37&gt;D$36,(D27-D$36)/(D$37-D$36),0)+0.000001,0)</f>
        <v>1.000001</v>
      </c>
      <c r="Q27" s="15" t="n">
        <f aca="false">IF($L27,IF(E$37&gt;E$36,(E27-E$36)/(E$37-E$36),0)+0.000001,0)</f>
        <v>1E-006</v>
      </c>
      <c r="R27" s="15" t="n">
        <f aca="false">IF($L27,IF(F$37&gt;F$36,(F27-F$36)/(F$37-F$36),0)+0.000001,0)</f>
        <v>0.411310274994112</v>
      </c>
      <c r="S27" s="15" t="n">
        <f aca="false">IF($L27,IF(G$37&gt;G$36,(G27-G$36)/(G$37-G$36),0)+0.000001,0)</f>
        <v>0.53408521210612</v>
      </c>
      <c r="T27" s="15" t="n">
        <f aca="false">IF($L27,IF(H$37&gt;H$36,(H27-H$36)/(H$37-H$36),0)+0.000001,0)</f>
        <v>0.417972315426224</v>
      </c>
      <c r="U27" s="15" t="n">
        <f aca="false">IF($L27,IF(I$37&gt;I$36,(I27-I$36)/(I$37-I$36),0)+0.000001,0)</f>
        <v>0.591291196065949</v>
      </c>
      <c r="V27" s="15" t="n">
        <f aca="false">IF($L27,IF(J$37&gt;J$36,(J27-J$36)/(J$37-J$36),0)+0.000001,0)</f>
        <v>0.701795570314149</v>
      </c>
      <c r="W27" s="15" t="n">
        <f aca="false">IF($L27,IF(K$37&gt;K$36,(K27-K$36)/(K$37-K$36),0)+0.000001,0)</f>
        <v>0.727767910659651</v>
      </c>
      <c r="Y27" s="15" t="n">
        <f aca="false">IF($L27,N27/N$38*LN(N27/N$38),0)</f>
        <v>-0.20628814750471</v>
      </c>
      <c r="Z27" s="15" t="n">
        <f aca="false">IF($L27,O27/O$38*LN(O27/O$38),0)</f>
        <v>-0.183011542928367</v>
      </c>
      <c r="AA27" s="15" t="n">
        <f aca="false">IF($L27,P27/P$38*LN(P27/P$38),0)</f>
        <v>-0.196525298562203</v>
      </c>
      <c r="AB27" s="15" t="n">
        <f aca="false">IF($L27,Q27/Q$38*LN(Q27/Q$38),0)</f>
        <v>-1.88758665381909E-006</v>
      </c>
      <c r="AC27" s="15" t="n">
        <f aca="false">IF($L27,R27/R$38*LN(R27/R$38),0)</f>
        <v>-0.100726365118112</v>
      </c>
      <c r="AD27" s="15" t="n">
        <f aca="false">IF($L27,S27/S$38*LN(S27/S$38),0)</f>
        <v>-0.162351595483097</v>
      </c>
      <c r="AE27" s="15" t="n">
        <f aca="false">IF($L27,T27/T$38*LN(T27/T$38),0)</f>
        <v>-0.136135765716017</v>
      </c>
      <c r="AF27" s="15" t="n">
        <f aca="false">IF($L27,U27/U$38*LN(U27/U$38),0)</f>
        <v>-0.18113783858704</v>
      </c>
      <c r="AG27" s="15" t="n">
        <f aca="false">IF($L27,V27/V$38*LN(V27/V$38),0)</f>
        <v>-0.221718217499418</v>
      </c>
      <c r="AH27" s="15" t="n">
        <f aca="false">IF($L27,W27/W$38*LN(W27/W$38),0)</f>
        <v>-0.171204660470933</v>
      </c>
    </row>
    <row r="28" customFormat="false" ht="15" hidden="false" customHeight="false" outlineLevel="0" collapsed="false">
      <c r="A28" s="17" t="str">
        <f aca="false">Показатели!A15&amp;" ЭТ"</f>
        <v>фреза 0.12×3.6 ЭТ</v>
      </c>
      <c r="B28" s="25" t="n">
        <f aca="false">Показатели!D15</f>
        <v>158.103960871899</v>
      </c>
      <c r="C28" s="25" t="n">
        <f aca="false">Показатели!E15</f>
        <v>395.259902179747</v>
      </c>
      <c r="D28" s="25" t="n">
        <f aca="false">Показатели!F15</f>
        <v>0.266677677478011</v>
      </c>
      <c r="E28" s="25" t="n">
        <f aca="false">Показатели!G15</f>
        <v>5.26544508970218</v>
      </c>
      <c r="F28" s="25" t="n">
        <f aca="false">Показатели!H15</f>
        <v>2.62919884803082</v>
      </c>
      <c r="G28" s="25" t="n">
        <f aca="false">Показатели!I15</f>
        <v>9283.42829119996</v>
      </c>
      <c r="H28" s="25" t="n">
        <f aca="false">Показатели!J15</f>
        <v>13593.5350756887</v>
      </c>
      <c r="I28" s="25" t="n">
        <f aca="false">Показатели!K15</f>
        <v>26.6141667467696</v>
      </c>
      <c r="J28" s="25" t="n">
        <f aca="false">Показатели!L15</f>
        <v>0</v>
      </c>
      <c r="K28" s="25" t="n">
        <f aca="false">Показатели!M15</f>
        <v>0.150406446053166</v>
      </c>
      <c r="L28" s="26" t="b">
        <f aca="false">Показатели!B15</f>
        <v>1</v>
      </c>
      <c r="N28" s="15" t="n">
        <f aca="false">IF($L28,IF(B$37&gt;B$36,(B28-B$36)/(B$37-B$36),0)+0.000001,0)</f>
        <v>0.135726834312026</v>
      </c>
      <c r="O28" s="15" t="n">
        <f aca="false">IF($L28,IF(C$37&gt;C$36,(C28-C$36)/(C$37-C$36),0)+0.000001,0)</f>
        <v>0.351230715370198</v>
      </c>
      <c r="P28" s="15" t="n">
        <f aca="false">IF($L28,IF(D$37&gt;D$36,(D28-D$36)/(D$37-D$36),0)+0.000001,0)</f>
        <v>0.0028486205037756</v>
      </c>
      <c r="Q28" s="15" t="n">
        <f aca="false">IF($L28,IF(E$37&gt;E$36,(E28-E$36)/(E$37-E$36),0)+0.000001,0)</f>
        <v>1E-006</v>
      </c>
      <c r="R28" s="15" t="n">
        <f aca="false">IF($L28,IF(F$37&gt;F$36,(F28-F$36)/(F$37-F$36),0)+0.000001,0)</f>
        <v>1E-006</v>
      </c>
      <c r="S28" s="15" t="n">
        <f aca="false">IF($L28,IF(G$37&gt;G$36,(G28-G$36)/(G$37-G$36),0)+0.000001,0)</f>
        <v>0.229449215294155</v>
      </c>
      <c r="T28" s="15" t="n">
        <f aca="false">IF($L28,IF(H$37&gt;H$36,(H28-H$36)/(H$37-H$36),0)+0.000001,0)</f>
        <v>0.322203115707925</v>
      </c>
      <c r="U28" s="15" t="n">
        <f aca="false">IF($L28,IF(I$37&gt;I$36,(I28-I$36)/(I$37-I$36),0)+0.000001,0)</f>
        <v>0.369167022468885</v>
      </c>
      <c r="V28" s="15" t="n">
        <f aca="false">IF($L28,IF(J$37&gt;J$36,(J28-J$36)/(J$37-J$36),0)+0.000001,0)</f>
        <v>1E-006</v>
      </c>
      <c r="W28" s="15" t="n">
        <f aca="false">IF($L28,IF(K$37&gt;K$36,(K28-K$36)/(K$37-K$36),0)+0.000001,0)</f>
        <v>1E-006</v>
      </c>
      <c r="Y28" s="15" t="n">
        <f aca="false">IF($L28,N28/N$38*LN(N28/N$38),0)</f>
        <v>-0.0692620703505474</v>
      </c>
      <c r="Z28" s="15" t="n">
        <f aca="false">IF($L28,O28/O$38*LN(O28/O$38),0)</f>
        <v>-0.128982280490037</v>
      </c>
      <c r="AA28" s="15" t="n">
        <f aca="false">IF($L28,P28/P$38*LN(P28/P$38),0)</f>
        <v>-0.00183580832094246</v>
      </c>
      <c r="AB28" s="15" t="n">
        <f aca="false">IF($L28,Q28/Q$38*LN(Q28/Q$38),0)</f>
        <v>-1.88758665381909E-006</v>
      </c>
      <c r="AC28" s="15" t="n">
        <f aca="false">IF($L28,R28/R$38*LN(R28/R$38),0)</f>
        <v>-1.13237317623014E-006</v>
      </c>
      <c r="AD28" s="15" t="n">
        <f aca="false">IF($L28,S28/S$38*LN(S28/S$38),0)</f>
        <v>-0.0902554154033652</v>
      </c>
      <c r="AE28" s="15" t="n">
        <f aca="false">IF($L28,T28/T$38*LN(T28/T$38),0)</f>
        <v>-0.113647406244874</v>
      </c>
      <c r="AF28" s="15" t="n">
        <f aca="false">IF($L28,U28/U$38*LN(U28/U$38),0)</f>
        <v>-0.132802118620132</v>
      </c>
      <c r="AG28" s="15" t="n">
        <f aca="false">IF($L28,V28/V$38*LN(V28/V$38),0)</f>
        <v>-2.11138376284076E-006</v>
      </c>
      <c r="AH28" s="15" t="n">
        <f aca="false">IF($L28,W28/W$38*LN(W28/W$38),0)</f>
        <v>-1.37274822001659E-006</v>
      </c>
    </row>
    <row r="29" customFormat="false" ht="15" hidden="false" customHeight="false" outlineLevel="0" collapsed="false">
      <c r="A29" s="17" t="str">
        <f aca="false">Показатели!A15&amp;" Д"</f>
        <v>фреза 0.12×3.6 Д</v>
      </c>
      <c r="B29" s="25" t="n">
        <f aca="false">Показатели!N15</f>
        <v>392.74998450013</v>
      </c>
      <c r="C29" s="25" t="n">
        <f aca="false">Показатели!O15</f>
        <v>451.662482175149</v>
      </c>
      <c r="D29" s="25" t="n">
        <f aca="false">Показатели!P15</f>
        <v>1</v>
      </c>
      <c r="E29" s="25" t="n">
        <f aca="false">Показатели!Q15</f>
        <v>5.26544508970218</v>
      </c>
      <c r="F29" s="25" t="n">
        <f aca="false">Показатели!R15</f>
        <v>10.9375215883101</v>
      </c>
      <c r="G29" s="25" t="n">
        <f aca="false">Показатели!S15</f>
        <v>10460.0459960572</v>
      </c>
      <c r="H29" s="25" t="n">
        <f aca="false">Показатели!T15</f>
        <v>12020.5838196761</v>
      </c>
      <c r="I29" s="25" t="n">
        <f aca="false">Показатели!U15</f>
        <v>29.319497450149</v>
      </c>
      <c r="J29" s="25" t="n">
        <f aca="false">Показатели!V15</f>
        <v>29.319497450149</v>
      </c>
      <c r="K29" s="25" t="n">
        <f aca="false">Показатели!W15</f>
        <v>0.698598333183333</v>
      </c>
      <c r="L29" s="26" t="b">
        <f aca="false">Показатели!B15</f>
        <v>1</v>
      </c>
      <c r="N29" s="15" t="n">
        <f aca="false">IF($L29,IF(B$37&gt;B$36,(B29-B$36)/(B$37-B$36),0)+0.000001,0)</f>
        <v>0.539358138232287</v>
      </c>
      <c r="O29" s="15" t="n">
        <f aca="false">IF($L29,IF(C$37&gt;C$36,(C29-C$36)/(C$37-C$36),0)+0.000001,0)</f>
        <v>0.451659760904296</v>
      </c>
      <c r="P29" s="15" t="n">
        <f aca="false">IF($L29,IF(D$37&gt;D$36,(D29-D$36)/(D$37-D$36),0)+0.000001,0)</f>
        <v>1.000001</v>
      </c>
      <c r="Q29" s="15" t="n">
        <f aca="false">IF($L29,IF(E$37&gt;E$36,(E29-E$36)/(E$37-E$36),0)+0.000001,0)</f>
        <v>1E-006</v>
      </c>
      <c r="R29" s="15" t="n">
        <f aca="false">IF($L29,IF(F$37&gt;F$36,(F29-F$36)/(F$37-F$36),0)+0.000001,0)</f>
        <v>0.148056664512524</v>
      </c>
      <c r="S29" s="15" t="n">
        <f aca="false">IF($L29,IF(G$37&gt;G$36,(G29-G$36)/(G$37-G$36),0)+0.000001,0)</f>
        <v>0.322086036912806</v>
      </c>
      <c r="T29" s="15" t="n">
        <f aca="false">IF($L29,IF(H$37&gt;H$36,(H29-H$36)/(H$37-H$36),0)+0.000001,0)</f>
        <v>0.227431172421451</v>
      </c>
      <c r="U29" s="15" t="n">
        <f aca="false">IF($L29,IF(I$37&gt;I$36,(I29-I$36)/(I$37-I$36),0)+0.000001,0)</f>
        <v>0.444360657890059</v>
      </c>
      <c r="V29" s="15" t="n">
        <f aca="false">IF($L29,IF(J$37&gt;J$36,(J29-J$36)/(J$37-J$36),0)+0.000001,0)</f>
        <v>0.594591182631331</v>
      </c>
      <c r="W29" s="15" t="n">
        <f aca="false">IF($L29,IF(K$37&gt;K$36,(K29-K$36)/(K$37-K$36),0)+0.000001,0)</f>
        <v>0.645241167587797</v>
      </c>
      <c r="Y29" s="15" t="n">
        <f aca="false">IF($L29,N29/N$38*LN(N29/N$38),0)</f>
        <v>-0.182037615415198</v>
      </c>
      <c r="Z29" s="15" t="n">
        <f aca="false">IF($L29,O29/O$38*LN(O29/O$38),0)</f>
        <v>-0.152893874509953</v>
      </c>
      <c r="AA29" s="15" t="n">
        <f aca="false">IF($L29,P29/P$38*LN(P29/P$38),0)</f>
        <v>-0.196525298562203</v>
      </c>
      <c r="AB29" s="15" t="n">
        <f aca="false">IF($L29,Q29/Q$38*LN(Q29/Q$38),0)</f>
        <v>-1.88758665381909E-006</v>
      </c>
      <c r="AC29" s="15" t="n">
        <f aca="false">IF($L29,R29/R$38*LN(R29/R$38),0)</f>
        <v>-0.0466434194744026</v>
      </c>
      <c r="AD29" s="15" t="n">
        <f aca="false">IF($L29,S29/S$38*LN(S29/S$38),0)</f>
        <v>-0.115139558990117</v>
      </c>
      <c r="AE29" s="15" t="n">
        <f aca="false">IF($L29,T29/T$38*LN(T29/T$38),0)</f>
        <v>-0.0884434400801298</v>
      </c>
      <c r="AF29" s="15" t="n">
        <f aca="false">IF($L29,U29/U$38*LN(U29/U$38),0)</f>
        <v>-0.150514736442774</v>
      </c>
      <c r="AG29" s="15" t="n">
        <f aca="false">IF($L29,V29/V$38*LN(V29/V$38),0)</f>
        <v>-0.200995441147197</v>
      </c>
      <c r="AH29" s="15" t="n">
        <f aca="false">IF($L29,W29/W$38*LN(W29/W$38),0)</f>
        <v>-0.158335234272031</v>
      </c>
    </row>
    <row r="30" customFormat="false" ht="15" hidden="false" customHeight="false" outlineLevel="0" collapsed="false">
      <c r="A30" s="17" t="str">
        <f aca="false">Показатели!A16&amp;" ЭТ"</f>
        <v>фреза 0.16×1.8 ЭТ</v>
      </c>
      <c r="B30" s="25" t="n">
        <f aca="false">Показатели!D16</f>
        <v>247.308807050882</v>
      </c>
      <c r="C30" s="25" t="n">
        <f aca="false">Показатели!E16</f>
        <v>618.272017627205</v>
      </c>
      <c r="D30" s="25" t="n">
        <f aca="false">Показатели!F16</f>
        <v>0.265732435255392</v>
      </c>
      <c r="E30" s="25" t="n">
        <f aca="false">Показатели!G16</f>
        <v>5.26544508970218</v>
      </c>
      <c r="F30" s="25" t="n">
        <f aca="false">Показатели!H16</f>
        <v>24.2715723758287</v>
      </c>
      <c r="G30" s="25" t="n">
        <f aca="false">Показатели!I16</f>
        <v>16988.6794208347</v>
      </c>
      <c r="H30" s="25" t="n">
        <f aca="false">Показатели!J16</f>
        <v>24843.0989914268</v>
      </c>
      <c r="I30" s="25" t="n">
        <f aca="false">Показатели!K16</f>
        <v>41.6303158535651</v>
      </c>
      <c r="J30" s="25" t="n">
        <f aca="false">Показатели!L16</f>
        <v>0</v>
      </c>
      <c r="K30" s="25" t="n">
        <f aca="false">Показатели!M16</f>
        <v>0.184667104248334</v>
      </c>
      <c r="L30" s="26" t="b">
        <f aca="false">Показатели!B16</f>
        <v>1</v>
      </c>
      <c r="N30" s="15" t="n">
        <f aca="false">IF($L30,IF(B$37&gt;B$36,(B30-B$36)/(B$37-B$36),0)+0.000001,0)</f>
        <v>0.2891744309194</v>
      </c>
      <c r="O30" s="15" t="n">
        <f aca="false">IF($L30,IF(C$37&gt;C$36,(C30-C$36)/(C$37-C$36),0)+0.000001,0)</f>
        <v>0.748320598470471</v>
      </c>
      <c r="P30" s="15" t="n">
        <f aca="false">IF($L30,IF(D$37&gt;D$36,(D30-D$36)/(D$37-D$36),0)+0.000001,0)</f>
        <v>0.00156330502579702</v>
      </c>
      <c r="Q30" s="15" t="n">
        <f aca="false">IF($L30,IF(E$37&gt;E$36,(E30-E$36)/(E$37-E$36),0)+0.000001,0)</f>
        <v>1E-006</v>
      </c>
      <c r="R30" s="15" t="n">
        <f aca="false">IF($L30,IF(F$37&gt;F$36,(F30-F$36)/(F$37-F$36),0)+0.000001,0)</f>
        <v>0.385671621430225</v>
      </c>
      <c r="S30" s="15" t="n">
        <f aca="false">IF($L30,IF(G$37&gt;G$36,(G30-G$36)/(G$37-G$36),0)+0.000001,0)</f>
        <v>0.836094833047721</v>
      </c>
      <c r="T30" s="15" t="n">
        <f aca="false">IF($L30,IF(H$37&gt;H$36,(H30-H$36)/(H$37-H$36),0)+0.000001,0)</f>
        <v>1.000001</v>
      </c>
      <c r="U30" s="15" t="n">
        <f aca="false">IF($L30,IF(I$37&gt;I$36,(I30-I$36)/(I$37-I$36),0)+0.000001,0)</f>
        <v>0.786535161586196</v>
      </c>
      <c r="V30" s="15" t="n">
        <f aca="false">IF($L30,IF(J$37&gt;J$36,(J30-J$36)/(J$37-J$36),0)+0.000001,0)</f>
        <v>1E-006</v>
      </c>
      <c r="W30" s="15" t="n">
        <f aca="false">IF($L30,IF(K$37&gt;K$36,(K30-K$36)/(K$37-K$36),0)+0.000001,0)</f>
        <v>0.0403269394283398</v>
      </c>
      <c r="Y30" s="15" t="n">
        <f aca="false">IF($L30,N30/N$38*LN(N30/N$38),0)</f>
        <v>-0.120173873076248</v>
      </c>
      <c r="Z30" s="15" t="n">
        <f aca="false">IF($L30,O30/O$38*LN(O30/O$38),0)</f>
        <v>-0.210178828708968</v>
      </c>
      <c r="AA30" s="15" t="n">
        <f aca="false">IF($L30,P30/P$38*LN(P30/P$38),0)</f>
        <v>-0.00107917079032246</v>
      </c>
      <c r="AB30" s="15" t="n">
        <f aca="false">IF($L30,Q30/Q$38*LN(Q30/Q$38),0)</f>
        <v>-1.88758665381909E-006</v>
      </c>
      <c r="AC30" s="15" t="n">
        <f aca="false">IF($L30,R30/R$38*LN(R30/R$38),0)</f>
        <v>-0.0961518076026752</v>
      </c>
      <c r="AD30" s="15" t="n">
        <f aca="false">IF($L30,S30/S$38*LN(S30/S$38),0)</f>
        <v>-0.214515726220363</v>
      </c>
      <c r="AE30" s="15" t="n">
        <f aca="false">IF($L30,T30/T$38*LN(T30/T$38),0)</f>
        <v>-0.235148580173579</v>
      </c>
      <c r="AF30" s="15" t="n">
        <f aca="false">IF($L30,U30/U$38*LN(U30/U$38),0)</f>
        <v>-0.215512697839347</v>
      </c>
      <c r="AG30" s="15" t="n">
        <f aca="false">IF($L30,V30/V$38*LN(V30/V$38),0)</f>
        <v>-2.11138376284076E-006</v>
      </c>
      <c r="AH30" s="15" t="n">
        <f aca="false">IF($L30,W30/W$38*LN(W30/W$38),0)</f>
        <v>-0.019318474943566</v>
      </c>
    </row>
    <row r="31" customFormat="false" ht="15" hidden="false" customHeight="false" outlineLevel="0" collapsed="false">
      <c r="A31" s="17" t="str">
        <f aca="false">Показатели!A16&amp;" Д"</f>
        <v>фреза 0.16×1.8 Д</v>
      </c>
      <c r="B31" s="25" t="n">
        <f aca="false">Показатели!N16</f>
        <v>660.538966119544</v>
      </c>
      <c r="C31" s="25" t="n">
        <f aca="false">Показатели!O16</f>
        <v>759.619811037476</v>
      </c>
      <c r="D31" s="25" t="n">
        <f aca="false">Показатели!P16</f>
        <v>1</v>
      </c>
      <c r="E31" s="25" t="n">
        <f aca="false">Показатели!Q16</f>
        <v>5.26544508970218</v>
      </c>
      <c r="F31" s="25" t="n">
        <f aca="false">Показатели!R16</f>
        <v>30.3470587759138</v>
      </c>
      <c r="G31" s="25" t="n">
        <f aca="false">Показатели!S16</f>
        <v>19070.5178799006</v>
      </c>
      <c r="H31" s="25" t="n">
        <f aca="false">Показатели!T16</f>
        <v>22040.3567357045</v>
      </c>
      <c r="I31" s="25" t="n">
        <f aca="false">Показатели!U16</f>
        <v>49.3104297827403</v>
      </c>
      <c r="J31" s="25" t="n">
        <f aca="false">Показатели!V16</f>
        <v>49.3104297827403</v>
      </c>
      <c r="K31" s="25" t="n">
        <f aca="false">Показатели!W16</f>
        <v>0.788806059655743</v>
      </c>
      <c r="L31" s="26" t="b">
        <f aca="false">Показатели!B16</f>
        <v>1</v>
      </c>
      <c r="N31" s="15" t="n">
        <f aca="false">IF($L31,IF(B$37&gt;B$36,(B31-B$36)/(B$37-B$36),0)+0.000001,0)</f>
        <v>1.000001</v>
      </c>
      <c r="O31" s="15" t="n">
        <f aca="false">IF($L31,IF(C$37&gt;C$36,(C31-C$36)/(C$37-C$36),0)+0.000001,0)</f>
        <v>1.000001</v>
      </c>
      <c r="P31" s="15" t="n">
        <f aca="false">IF($L31,IF(D$37&gt;D$36,(D31-D$36)/(D$37-D$36),0)+0.000001,0)</f>
        <v>1.000001</v>
      </c>
      <c r="Q31" s="15" t="n">
        <f aca="false">IF($L31,IF(E$37&gt;E$36,(E31-E$36)/(E$37-E$36),0)+0.000001,0)</f>
        <v>1E-006</v>
      </c>
      <c r="R31" s="15" t="n">
        <f aca="false">IF($L31,IF(F$37&gt;F$36,(F31-F$36)/(F$37-F$36),0)+0.000001,0)</f>
        <v>0.493937778670424</v>
      </c>
      <c r="S31" s="15" t="n">
        <f aca="false">IF($L31,IF(G$37&gt;G$36,(G31-G$36)/(G$37-G$36),0)+0.000001,0)</f>
        <v>1.000001</v>
      </c>
      <c r="T31" s="15" t="n">
        <f aca="false">IF($L31,IF(H$37&gt;H$36,(H31-H$36)/(H$37-H$36),0)+0.000001,0)</f>
        <v>0.831132874499872</v>
      </c>
      <c r="U31" s="15" t="n">
        <f aca="false">IF($L31,IF(I$37&gt;I$36,(I31-I$36)/(I$37-I$36),0)+0.000001,0)</f>
        <v>1.000001</v>
      </c>
      <c r="V31" s="15" t="n">
        <f aca="false">IF($L31,IF(J$37&gt;J$36,(J31-J$36)/(J$37-J$36),0)+0.000001,0)</f>
        <v>1.000001</v>
      </c>
      <c r="W31" s="15" t="n">
        <f aca="false">IF($L31,IF(K$37&gt;K$36,(K31-K$36)/(K$37-K$36),0)+0.000001,0)</f>
        <v>0.751418675707232</v>
      </c>
      <c r="Y31" s="15" t="n">
        <f aca="false">IF($L31,N31/N$38*LN(N31/N$38),0)</f>
        <v>-0.260188358976386</v>
      </c>
      <c r="Z31" s="15" t="n">
        <f aca="false">IF($L31,O31/O$38*LN(O31/O$38),0)</f>
        <v>-0.247764858207488</v>
      </c>
      <c r="AA31" s="15" t="n">
        <f aca="false">IF($L31,P31/P$38*LN(P31/P$38),0)</f>
        <v>-0.196525298562203</v>
      </c>
      <c r="AB31" s="15" t="n">
        <f aca="false">IF($L31,Q31/Q$38*LN(Q31/Q$38),0)</f>
        <v>-1.88758665381909E-006</v>
      </c>
      <c r="AC31" s="15" t="n">
        <f aca="false">IF($L31,R31/R$38*LN(R31/R$38),0)</f>
        <v>-0.11475347309773</v>
      </c>
      <c r="AD31" s="15" t="n">
        <f aca="false">IF($L31,S31/S$38*LN(S31/S$38),0)</f>
        <v>-0.237631623665761</v>
      </c>
      <c r="AE31" s="15" t="n">
        <f aca="false">IF($L31,T31/T$38*LN(T31/T$38),0)</f>
        <v>-0.211398270439678</v>
      </c>
      <c r="AF31" s="15" t="n">
        <f aca="false">IF($L31,U31/U$38*LN(U31/U$38),0)</f>
        <v>-0.246786897014575</v>
      </c>
      <c r="AG31" s="15" t="n">
        <f aca="false">IF($L31,V31/V$38*LN(V31/V$38),0)</f>
        <v>-0.268699164415847</v>
      </c>
      <c r="AH31" s="15" t="n">
        <f aca="false">IF($L31,W31/W$38*LN(W31/W$38),0)</f>
        <v>-0.17474323955802</v>
      </c>
    </row>
    <row r="32" customFormat="false" ht="15" hidden="false" customHeight="false" outlineLevel="0" collapsed="false">
      <c r="A32" s="17" t="str">
        <f aca="false">Показатели!A17&amp;" ЭТ"</f>
        <v>фреза 0.16×2.7 ЭТ</v>
      </c>
      <c r="B32" s="25" t="n">
        <f aca="false">Показатели!D17</f>
        <v>218.131660534279</v>
      </c>
      <c r="C32" s="25" t="n">
        <f aca="false">Показатели!E17</f>
        <v>545.329151335697</v>
      </c>
      <c r="D32" s="25" t="n">
        <f aca="false">Показатели!F17</f>
        <v>0.267032085755647</v>
      </c>
      <c r="E32" s="25" t="n">
        <f aca="false">Показатели!G17</f>
        <v>5.26544508970218</v>
      </c>
      <c r="F32" s="25" t="n">
        <f aca="false">Показатели!H17</f>
        <v>-1.65271445434092</v>
      </c>
      <c r="G32" s="25" t="n">
        <f aca="false">Показатели!I17</f>
        <v>12235.4693664045</v>
      </c>
      <c r="H32" s="25" t="n">
        <f aca="false">Показатели!J17</f>
        <v>17931.1115094705</v>
      </c>
      <c r="I32" s="25" t="n">
        <f aca="false">Показатели!K17</f>
        <v>36.7188295232702</v>
      </c>
      <c r="J32" s="25" t="n">
        <f aca="false">Показатели!L17</f>
        <v>0</v>
      </c>
      <c r="K32" s="25" t="n">
        <f aca="false">Показатели!M17</f>
        <v>0.141552548515034</v>
      </c>
      <c r="L32" s="26" t="b">
        <f aca="false">Показатели!B17</f>
        <v>0</v>
      </c>
      <c r="N32" s="15" t="n">
        <f aca="false">IF($L32,IF(B$37&gt;B$36,(B32-B$36)/(B$37-B$36),0)+0.000001,0)</f>
        <v>0</v>
      </c>
      <c r="O32" s="15" t="n">
        <f aca="false">IF($L32,IF(C$37&gt;C$36,(C32-C$36)/(C$37-C$36),0)+0.000001,0)</f>
        <v>0</v>
      </c>
      <c r="P32" s="15" t="n">
        <f aca="false">IF($L32,IF(D$37&gt;D$36,(D32-D$36)/(D$37-D$36),0)+0.000001,0)</f>
        <v>0</v>
      </c>
      <c r="Q32" s="15" t="n">
        <f aca="false">IF($L32,IF(E$37&gt;E$36,(E32-E$36)/(E$37-E$36),0)+0.000001,0)</f>
        <v>0</v>
      </c>
      <c r="R32" s="15" t="n">
        <f aca="false">IF($L32,IF(F$37&gt;F$36,(F32-F$36)/(F$37-F$36),0)+0.000001,0)</f>
        <v>0</v>
      </c>
      <c r="S32" s="15" t="n">
        <f aca="false">IF($L32,IF(G$37&gt;G$36,(G32-G$36)/(G$37-G$36),0)+0.000001,0)</f>
        <v>0</v>
      </c>
      <c r="T32" s="15" t="n">
        <f aca="false">IF($L32,IF(H$37&gt;H$36,(H32-H$36)/(H$37-H$36),0)+0.000001,0)</f>
        <v>0</v>
      </c>
      <c r="U32" s="15" t="n">
        <f aca="false">IF($L32,IF(I$37&gt;I$36,(I32-I$36)/(I$37-I$36),0)+0.000001,0)</f>
        <v>0</v>
      </c>
      <c r="V32" s="15" t="n">
        <f aca="false">IF($L32,IF(J$37&gt;J$36,(J32-J$36)/(J$37-J$36),0)+0.000001,0)</f>
        <v>0</v>
      </c>
      <c r="W32" s="15" t="n">
        <f aca="false">IF($L32,IF(K$37&gt;K$36,(K32-K$36)/(K$37-K$36),0)+0.000001,0)</f>
        <v>0</v>
      </c>
      <c r="Y32" s="15" t="n">
        <f aca="false">IF($L32,N32/N$38*LN(N32/N$38),0)</f>
        <v>0</v>
      </c>
      <c r="Z32" s="15" t="n">
        <f aca="false">IF($L32,O32/O$38*LN(O32/O$38),0)</f>
        <v>0</v>
      </c>
      <c r="AA32" s="15" t="n">
        <f aca="false">IF($L32,P32/P$38*LN(P32/P$38),0)</f>
        <v>0</v>
      </c>
      <c r="AB32" s="15" t="n">
        <f aca="false">IF($L32,Q32/Q$38*LN(Q32/Q$38),0)</f>
        <v>0</v>
      </c>
      <c r="AC32" s="15" t="n">
        <f aca="false">IF($L32,R32/R$38*LN(R32/R$38),0)</f>
        <v>0</v>
      </c>
      <c r="AD32" s="15" t="n">
        <f aca="false">IF($L32,S32/S$38*LN(S32/S$38),0)</f>
        <v>0</v>
      </c>
      <c r="AE32" s="15" t="n">
        <f aca="false">IF($L32,T32/T$38*LN(T32/T$38),0)</f>
        <v>0</v>
      </c>
      <c r="AF32" s="15" t="n">
        <f aca="false">IF($L32,U32/U$38*LN(U32/U$38),0)</f>
        <v>0</v>
      </c>
      <c r="AG32" s="15" t="n">
        <f aca="false">IF($L32,V32/V$38*LN(V32/V$38),0)</f>
        <v>0</v>
      </c>
      <c r="AH32" s="15" t="n">
        <f aca="false">IF($L32,W32/W$38*LN(W32/W$38),0)</f>
        <v>0</v>
      </c>
    </row>
    <row r="33" customFormat="false" ht="15" hidden="false" customHeight="false" outlineLevel="0" collapsed="false">
      <c r="A33" s="17" t="str">
        <f aca="false">Показатели!A17&amp;" Д"</f>
        <v>фреза 0.16×2.7 Д</v>
      </c>
      <c r="B33" s="25" t="n">
        <f aca="false">Показатели!N17</f>
        <v>533.144832245652</v>
      </c>
      <c r="C33" s="25" t="n">
        <f aca="false">Показатели!O17</f>
        <v>613.1165570825</v>
      </c>
      <c r="D33" s="25" t="n">
        <f aca="false">Показатели!P17</f>
        <v>1</v>
      </c>
      <c r="E33" s="25" t="n">
        <f aca="false">Показатели!Q17</f>
        <v>5.26544508970218</v>
      </c>
      <c r="F33" s="25" t="n">
        <f aca="false">Показатели!R17</f>
        <v>6.59713673884084</v>
      </c>
      <c r="G33" s="25" t="n">
        <f aca="false">Показатели!S17</f>
        <v>13822.0309931799</v>
      </c>
      <c r="H33" s="25" t="n">
        <f aca="false">Показатели!T17</f>
        <v>15852.3358275271</v>
      </c>
      <c r="I33" s="25" t="n">
        <f aca="false">Показатели!U17</f>
        <v>39.8002270311518</v>
      </c>
      <c r="J33" s="25" t="n">
        <f aca="false">Показатели!V17</f>
        <v>39.8002270311518</v>
      </c>
      <c r="K33" s="25" t="n">
        <f aca="false">Показатели!W17</f>
        <v>0.670147134139933</v>
      </c>
      <c r="L33" s="26" t="b">
        <f aca="false">Показатели!B17</f>
        <v>0</v>
      </c>
      <c r="N33" s="15" t="n">
        <f aca="false">IF($L33,IF(B$37&gt;B$36,(B33-B$36)/(B$37-B$36),0)+0.000001,0)</f>
        <v>0</v>
      </c>
      <c r="O33" s="15" t="n">
        <f aca="false">IF($L33,IF(C$37&gt;C$36,(C33-C$36)/(C$37-C$36),0)+0.000001,0)</f>
        <v>0</v>
      </c>
      <c r="P33" s="15" t="n">
        <f aca="false">IF($L33,IF(D$37&gt;D$36,(D33-D$36)/(D$37-D$36),0)+0.000001,0)</f>
        <v>0</v>
      </c>
      <c r="Q33" s="15" t="n">
        <f aca="false">IF($L33,IF(E$37&gt;E$36,(E33-E$36)/(E$37-E$36),0)+0.000001,0)</f>
        <v>0</v>
      </c>
      <c r="R33" s="15" t="n">
        <f aca="false">IF($L33,IF(F$37&gt;F$36,(F33-F$36)/(F$37-F$36),0)+0.000001,0)</f>
        <v>0</v>
      </c>
      <c r="S33" s="15" t="n">
        <f aca="false">IF($L33,IF(G$37&gt;G$36,(G33-G$36)/(G$37-G$36),0)+0.000001,0)</f>
        <v>0</v>
      </c>
      <c r="T33" s="15" t="n">
        <f aca="false">IF($L33,IF(H$37&gt;H$36,(H33-H$36)/(H$37-H$36),0)+0.000001,0)</f>
        <v>0</v>
      </c>
      <c r="U33" s="15" t="n">
        <f aca="false">IF($L33,IF(I$37&gt;I$36,(I33-I$36)/(I$37-I$36),0)+0.000001,0)</f>
        <v>0</v>
      </c>
      <c r="V33" s="15" t="n">
        <f aca="false">IF($L33,IF(J$37&gt;J$36,(J33-J$36)/(J$37-J$36),0)+0.000001,0)</f>
        <v>0</v>
      </c>
      <c r="W33" s="15" t="n">
        <f aca="false">IF($L33,IF(K$37&gt;K$36,(K33-K$36)/(K$37-K$36),0)+0.000001,0)</f>
        <v>0</v>
      </c>
      <c r="Y33" s="15" t="n">
        <f aca="false">IF($L33,N33/N$38*LN(N33/N$38),0)</f>
        <v>0</v>
      </c>
      <c r="Z33" s="15" t="n">
        <f aca="false">IF($L33,O33/O$38*LN(O33/O$38),0)</f>
        <v>0</v>
      </c>
      <c r="AA33" s="15" t="n">
        <f aca="false">IF($L33,P33/P$38*LN(P33/P$38),0)</f>
        <v>0</v>
      </c>
      <c r="AB33" s="15" t="n">
        <f aca="false">IF($L33,Q33/Q$38*LN(Q33/Q$38),0)</f>
        <v>0</v>
      </c>
      <c r="AC33" s="15" t="n">
        <f aca="false">IF($L33,R33/R$38*LN(R33/R$38),0)</f>
        <v>0</v>
      </c>
      <c r="AD33" s="15" t="n">
        <f aca="false">IF($L33,S33/S$38*LN(S33/S$38),0)</f>
        <v>0</v>
      </c>
      <c r="AE33" s="15" t="n">
        <f aca="false">IF($L33,T33/T$38*LN(T33/T$38),0)</f>
        <v>0</v>
      </c>
      <c r="AF33" s="15" t="n">
        <f aca="false">IF($L33,U33/U$38*LN(U33/U$38),0)</f>
        <v>0</v>
      </c>
      <c r="AG33" s="15" t="n">
        <f aca="false">IF($L33,V33/V$38*LN(V33/V$38),0)</f>
        <v>0</v>
      </c>
      <c r="AH33" s="15" t="n">
        <f aca="false">IF($L33,W33/W$38*LN(W33/W$38),0)</f>
        <v>0</v>
      </c>
    </row>
    <row r="35" customFormat="false" ht="15" hidden="false" customHeight="false" outlineLevel="0" collapsed="false">
      <c r="A35" s="5" t="s">
        <v>483</v>
      </c>
      <c r="B35" s="6" t="n">
        <f aca="false">COUNTIF(L2:L33,TRUE())</f>
        <v>26</v>
      </c>
    </row>
    <row r="36" customFormat="false" ht="15" hidden="false" customHeight="false" outlineLevel="0" collapsed="false">
      <c r="A36" s="5" t="s">
        <v>484</v>
      </c>
      <c r="B36" s="11" t="n">
        <f aca="false">_xlfn.MINIFS(B2:B33,$L$2:$L$33,TRUE())</f>
        <v>79.2014401416618</v>
      </c>
      <c r="C36" s="11" t="n">
        <f aca="false">_xlfn.MINIFS(C2:C33,$L$2:$L$33,TRUE())</f>
        <v>198.003600354155</v>
      </c>
      <c r="D36" s="11" t="n">
        <f aca="false">_xlfn.MINIFS(D2:D33,$L$2:$L$33,TRUE())</f>
        <v>0.264583490346306</v>
      </c>
      <c r="E36" s="11" t="n">
        <f aca="false">_xlfn.MINIFS(E2:E33,$L$2:$L$33,TRUE())</f>
        <v>5.26544508970218</v>
      </c>
      <c r="F36" s="11" t="n">
        <f aca="false">_xlfn.MINIFS(F2:F33,$L$2:$L$33,TRUE())</f>
        <v>2.62919884803082</v>
      </c>
      <c r="G36" s="11" t="n">
        <f aca="false">_xlfn.MINIFS(G2:G33,$L$2:$L$33,TRUE())</f>
        <v>6369.11379135279</v>
      </c>
      <c r="H36" s="11" t="n">
        <f aca="false">_xlfn.MINIFS(H2:H33,$L$2:$L$33,TRUE())</f>
        <v>8245.8741011666</v>
      </c>
      <c r="I36" s="11" t="n">
        <f aca="false">_xlfn.MINIFS(I2:I33,$L$2:$L$33,TRUE())</f>
        <v>13.3322424238464</v>
      </c>
      <c r="J36" s="11" t="n">
        <f aca="false">_xlfn.MINIFS(J2:J33,$L$2:$L$33,TRUE())</f>
        <v>0</v>
      </c>
      <c r="K36" s="11" t="n">
        <f aca="false">_xlfn.MINIFS(K2:K33,$L$2:$L$33,TRUE())</f>
        <v>0.150406446053166</v>
      </c>
    </row>
    <row r="37" customFormat="false" ht="15" hidden="false" customHeight="false" outlineLevel="0" collapsed="false">
      <c r="A37" s="5" t="s">
        <v>485</v>
      </c>
      <c r="B37" s="11" t="n">
        <f aca="false">_xlfn.MAXIFS(B2:B33,$L$2:$L$33,TRUE())</f>
        <v>660.538966119544</v>
      </c>
      <c r="C37" s="11" t="n">
        <f aca="false">_xlfn.MAXIFS(C2:C33,$L$2:$L$33,TRUE())</f>
        <v>759.619811037476</v>
      </c>
      <c r="D37" s="11" t="n">
        <f aca="false">_xlfn.MAXIFS(D2:D33,$L$2:$L$33,TRUE())</f>
        <v>1</v>
      </c>
      <c r="E37" s="11" t="n">
        <f aca="false">_xlfn.MAXIFS(E2:E33,$L$2:$L$33,TRUE())</f>
        <v>17.5194232235354</v>
      </c>
      <c r="F37" s="11" t="n">
        <f aca="false">_xlfn.MAXIFS(F2:F33,$L$2:$L$33,TRUE())</f>
        <v>58.7454087048747</v>
      </c>
      <c r="G37" s="11" t="n">
        <f aca="false">_xlfn.MAXIFS(G2:G33,$L$2:$L$33,TRUE())</f>
        <v>19070.5178799006</v>
      </c>
      <c r="H37" s="11" t="n">
        <f aca="false">_xlfn.MAXIFS(H2:H33,$L$2:$L$33,TRUE())</f>
        <v>24843.0989914268</v>
      </c>
      <c r="I37" s="11" t="n">
        <f aca="false">_xlfn.MAXIFS(I2:I33,$L$2:$L$33,TRUE())</f>
        <v>49.3104297827403</v>
      </c>
      <c r="J37" s="11" t="n">
        <f aca="false">_xlfn.MAXIFS(J2:J33,$L$2:$L$33,TRUE())</f>
        <v>49.3104297827403</v>
      </c>
      <c r="K37" s="11" t="n">
        <f aca="false">_xlfn.MAXIFS(K2:K33,$L$2:$L$33,TRUE())</f>
        <v>1</v>
      </c>
    </row>
    <row r="38" customFormat="false" ht="15" hidden="false" customHeight="false" outlineLevel="0" collapsed="false">
      <c r="A38" s="5" t="s">
        <v>486</v>
      </c>
      <c r="B38" s="15" t="n">
        <f aca="false">SUM(N2:N33)</f>
        <v>7.98471702959771</v>
      </c>
      <c r="C38" s="15" t="n">
        <f aca="false">SUM(O2:O33)</f>
        <v>8.75833020155502</v>
      </c>
      <c r="D38" s="15" t="n">
        <f aca="false">SUM(P2:P33)</f>
        <v>13.0844552530856</v>
      </c>
      <c r="E38" s="15" t="n">
        <f aca="false">SUM(Q2:Q33)</f>
        <v>8.44975683061029</v>
      </c>
      <c r="F38" s="15" t="n">
        <f aca="false">SUM(R2:R33)</f>
        <v>14.5660497487859</v>
      </c>
      <c r="G38" s="15" t="n">
        <f aca="false">SUM(S2:S33)</f>
        <v>9.45301258494171</v>
      </c>
      <c r="H38" s="15" t="n">
        <f aca="false">SUM(T2:T33)</f>
        <v>9.63307382539565</v>
      </c>
      <c r="I38" s="15" t="n">
        <f aca="false">SUM(U2:U33)</f>
        <v>8.822717735365</v>
      </c>
      <c r="J38" s="15" t="n">
        <f aca="false">SUM(V2:V33)</f>
        <v>7.49749010503789</v>
      </c>
      <c r="K38" s="15" t="n">
        <f aca="false">SUM(W2:W33)</f>
        <v>11.8661221189194</v>
      </c>
      <c r="N38" s="27" t="n">
        <f aca="false">SUM(N2:N33)</f>
        <v>7.98471702959771</v>
      </c>
      <c r="O38" s="27" t="n">
        <f aca="false">SUM(O2:O33)</f>
        <v>8.75833020155502</v>
      </c>
      <c r="P38" s="27" t="n">
        <f aca="false">SUM(P2:P33)</f>
        <v>13.0844552530856</v>
      </c>
      <c r="Q38" s="27" t="n">
        <f aca="false">SUM(Q2:Q33)</f>
        <v>8.44975683061029</v>
      </c>
      <c r="R38" s="27" t="n">
        <f aca="false">SUM(R2:R33)</f>
        <v>14.5660497487859</v>
      </c>
      <c r="S38" s="27" t="n">
        <f aca="false">SUM(S2:S33)</f>
        <v>9.45301258494171</v>
      </c>
      <c r="T38" s="27" t="n">
        <f aca="false">SUM(T2:T33)</f>
        <v>9.63307382539565</v>
      </c>
      <c r="U38" s="27" t="n">
        <f aca="false">SUM(U2:U33)</f>
        <v>8.822717735365</v>
      </c>
      <c r="V38" s="27" t="n">
        <f aca="false">SUM(V2:V33)</f>
        <v>7.49749010503789</v>
      </c>
      <c r="W38" s="27" t="n">
        <f aca="false">SUM(W2:W33)</f>
        <v>11.8661221189194</v>
      </c>
    </row>
    <row r="39" customFormat="false" ht="15" hidden="false" customHeight="false" outlineLevel="0" collapsed="false">
      <c r="A39" s="5" t="s">
        <v>487</v>
      </c>
      <c r="B39" s="15" t="n">
        <f aca="false">-SUM(Y2:Y33)/LN($B$35)</f>
        <v>0.877804800304428</v>
      </c>
      <c r="C39" s="15" t="n">
        <f aca="false">-SUM(Z2:Z33)/LN($B$35)</f>
        <v>0.907993043091577</v>
      </c>
      <c r="D39" s="15" t="n">
        <f aca="false">-SUM(AA2:AA33)/LN($B$35)</f>
        <v>0.796747179948771</v>
      </c>
      <c r="E39" s="15" t="n">
        <f aca="false">-SUM(AB2:AB33)/LN($B$35)</f>
        <v>0.753593255941911</v>
      </c>
      <c r="F39" s="15" t="n">
        <f aca="false">-SUM(AC2:AC33)/LN($B$35)</f>
        <v>0.955712665700751</v>
      </c>
      <c r="G39" s="15" t="n">
        <f aca="false">-SUM(AD2:AD33)/LN($B$35)</f>
        <v>0.89419153047613</v>
      </c>
      <c r="H39" s="15" t="n">
        <f aca="false">-SUM(AE2:AE33)/LN($B$35)</f>
        <v>0.896926751621613</v>
      </c>
      <c r="I39" s="15" t="n">
        <f aca="false">-SUM(AF2:AF33)/LN($B$35)</f>
        <v>0.907132370483692</v>
      </c>
      <c r="J39" s="15" t="n">
        <f aca="false">-SUM(AG2:AG33)/LN($B$35)</f>
        <v>0.770260502269341</v>
      </c>
      <c r="K39" s="15" t="n">
        <f aca="false">-SUM(AH2:AH33)/LN($B$35)</f>
        <v>0.86970675250699</v>
      </c>
    </row>
    <row r="40" customFormat="false" ht="15" hidden="false" customHeight="false" outlineLevel="0" collapsed="false">
      <c r="A40" s="5" t="s">
        <v>488</v>
      </c>
      <c r="B40" s="22" t="n">
        <f aca="false">(1-B39)/(10-SUM($B$39:$K$39))</f>
        <v>0.0891980592636056</v>
      </c>
      <c r="C40" s="22" t="n">
        <f aca="false">(1-C39)/(10-SUM($B$39:$K$39))</f>
        <v>0.0671617380668589</v>
      </c>
      <c r="D40" s="22" t="n">
        <f aca="false">(1-D39)/(10-SUM($B$39:$K$39))</f>
        <v>0.148367179182092</v>
      </c>
      <c r="E40" s="22" t="n">
        <f aca="false">(1-E39)/(10-SUM($B$39:$K$39))</f>
        <v>0.1798679769271</v>
      </c>
      <c r="F40" s="22" t="n">
        <f aca="false">(1-F39)/(10-SUM($B$39:$K$39))</f>
        <v>0.0323281461079743</v>
      </c>
      <c r="G40" s="22" t="n">
        <f aca="false">(1-G39)/(10-SUM($B$39:$K$39))</f>
        <v>0.0772363411876609</v>
      </c>
      <c r="H40" s="22" t="n">
        <f aca="false">(1-H39)/(10-SUM($B$39:$K$39))</f>
        <v>0.0752397290585292</v>
      </c>
      <c r="I40" s="22" t="n">
        <f aca="false">(1-I39)/(10-SUM($B$39:$K$39))</f>
        <v>0.0677899978223648</v>
      </c>
      <c r="J40" s="22" t="n">
        <f aca="false">(1-J39)/(10-SUM($B$39:$K$39))</f>
        <v>0.167701492242112</v>
      </c>
      <c r="K40" s="22" t="n">
        <f aca="false">(1-K39)/(10-SUM($B$39:$K$39))</f>
        <v>0.0951093401417008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51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2"/>
    <col collapsed="false" customWidth="true" hidden="false" outlineLevel="0" max="4" min="3" style="0" width="8"/>
    <col collapsed="false" customWidth="true" hidden="false" outlineLevel="0" max="8" min="5" style="0" width="10"/>
    <col collapsed="false" customWidth="true" hidden="false" outlineLevel="0" max="9" min="9" style="0" width="14"/>
    <col collapsed="false" customWidth="true" hidden="false" outlineLevel="0" max="11" min="11" style="0" width="60"/>
  </cols>
  <sheetData>
    <row r="1" customFormat="false" ht="45" hidden="false" customHeight="true" outlineLevel="0" collapsed="false">
      <c r="A1" s="4" t="s">
        <v>489</v>
      </c>
      <c r="B1" s="4" t="s">
        <v>239</v>
      </c>
      <c r="C1" s="4" t="s">
        <v>252</v>
      </c>
      <c r="D1" s="4" t="s">
        <v>251</v>
      </c>
      <c r="E1" s="4" t="s">
        <v>490</v>
      </c>
      <c r="F1" s="4" t="s">
        <v>491</v>
      </c>
      <c r="G1" s="4" t="s">
        <v>492</v>
      </c>
      <c r="H1" s="4" t="s">
        <v>493</v>
      </c>
      <c r="I1" s="4" t="s">
        <v>494</v>
      </c>
      <c r="K1" s="28" t="s">
        <v>495</v>
      </c>
    </row>
    <row r="2" customFormat="false" ht="15" hidden="false" customHeight="false" outlineLevel="0" collapsed="false">
      <c r="A2" s="10" t="s">
        <v>496</v>
      </c>
      <c r="B2" s="10" t="s">
        <v>267</v>
      </c>
      <c r="C2" s="10" t="n">
        <v>0.08</v>
      </c>
      <c r="D2" s="10" t="n">
        <v>3.6</v>
      </c>
      <c r="E2" s="29" t="n">
        <v>0.0158</v>
      </c>
      <c r="F2" s="29" t="n">
        <v>-0.1176</v>
      </c>
      <c r="G2" s="29" t="n">
        <v>0.1471</v>
      </c>
      <c r="H2" s="29" t="n">
        <v>0.579</v>
      </c>
      <c r="I2" s="29" t="n">
        <v>0.162</v>
      </c>
    </row>
    <row r="3" customFormat="false" ht="15" hidden="false" customHeight="false" outlineLevel="0" collapsed="false">
      <c r="A3" s="10" t="s">
        <v>496</v>
      </c>
      <c r="B3" s="10" t="s">
        <v>267</v>
      </c>
      <c r="C3" s="10" t="n">
        <v>0.08</v>
      </c>
      <c r="D3" s="10" t="n">
        <v>4.5</v>
      </c>
      <c r="E3" s="29" t="n">
        <v>-0.0165</v>
      </c>
      <c r="F3" s="29" t="n">
        <v>-0.1494</v>
      </c>
      <c r="G3" s="29" t="n">
        <v>0.1118</v>
      </c>
      <c r="H3" s="29" t="n">
        <v>0.427</v>
      </c>
      <c r="I3" s="29" t="n">
        <v>0.106</v>
      </c>
    </row>
    <row r="4" customFormat="false" ht="15" hidden="false" customHeight="false" outlineLevel="0" collapsed="false">
      <c r="A4" s="10" t="s">
        <v>496</v>
      </c>
      <c r="B4" s="10" t="s">
        <v>267</v>
      </c>
      <c r="C4" s="10" t="n">
        <v>0.08</v>
      </c>
      <c r="D4" s="10" t="n">
        <v>5.4</v>
      </c>
      <c r="E4" s="29" t="n">
        <v>-0.0401</v>
      </c>
      <c r="F4" s="29" t="n">
        <v>-0.1764</v>
      </c>
      <c r="G4" s="29" t="n">
        <v>0.0947</v>
      </c>
      <c r="H4" s="29" t="n">
        <v>0.311</v>
      </c>
      <c r="I4" s="29" t="n">
        <v>0.049</v>
      </c>
    </row>
    <row r="5" customFormat="false" ht="15" hidden="false" customHeight="false" outlineLevel="0" collapsed="false">
      <c r="A5" s="10" t="s">
        <v>496</v>
      </c>
      <c r="B5" s="10" t="s">
        <v>267</v>
      </c>
      <c r="C5" s="10" t="n">
        <v>0.11</v>
      </c>
      <c r="D5" s="10" t="n">
        <v>3.6</v>
      </c>
      <c r="E5" s="29" t="n">
        <v>-0.0129</v>
      </c>
      <c r="F5" s="29" t="n">
        <v>-0.1446</v>
      </c>
      <c r="G5" s="29" t="n">
        <v>0.1168</v>
      </c>
      <c r="H5" s="29" t="n">
        <v>0.433</v>
      </c>
      <c r="I5" s="29" t="n">
        <v>0.101</v>
      </c>
    </row>
    <row r="6" customFormat="false" ht="15" hidden="false" customHeight="false" outlineLevel="0" collapsed="false">
      <c r="A6" s="10" t="s">
        <v>496</v>
      </c>
      <c r="B6" s="10" t="s">
        <v>267</v>
      </c>
      <c r="C6" s="10" t="n">
        <v>0.11</v>
      </c>
      <c r="D6" s="10" t="n">
        <v>4.5</v>
      </c>
      <c r="E6" s="29" t="n">
        <v>-0.0376</v>
      </c>
      <c r="F6" s="29" t="n">
        <v>-0.1749</v>
      </c>
      <c r="G6" s="29" t="n">
        <v>0.0965</v>
      </c>
      <c r="H6" s="29" t="n">
        <v>0.32</v>
      </c>
      <c r="I6" s="29" t="n">
        <v>0.052</v>
      </c>
    </row>
    <row r="7" customFormat="false" ht="15" hidden="false" customHeight="false" outlineLevel="0" collapsed="false">
      <c r="A7" s="10" t="s">
        <v>496</v>
      </c>
      <c r="B7" s="10" t="s">
        <v>267</v>
      </c>
      <c r="C7" s="10" t="n">
        <v>0.11</v>
      </c>
      <c r="D7" s="10" t="n">
        <v>5.4</v>
      </c>
      <c r="E7" s="29" t="n">
        <v>-0.0624</v>
      </c>
      <c r="F7" s="29" t="n">
        <v>-0.2019</v>
      </c>
      <c r="G7" s="29" t="n">
        <v>0.0735</v>
      </c>
      <c r="H7" s="29" t="n">
        <v>0.226</v>
      </c>
      <c r="I7" s="29" t="n">
        <v>0.054</v>
      </c>
    </row>
    <row r="8" customFormat="false" ht="15" hidden="false" customHeight="false" outlineLevel="0" collapsed="false">
      <c r="A8" s="10" t="s">
        <v>496</v>
      </c>
      <c r="B8" s="10" t="s">
        <v>267</v>
      </c>
      <c r="C8" s="10" t="n">
        <v>0.14</v>
      </c>
      <c r="D8" s="10" t="n">
        <v>3.6</v>
      </c>
      <c r="E8" s="29" t="n">
        <v>-0.0229</v>
      </c>
      <c r="F8" s="29" t="n">
        <v>-0.161</v>
      </c>
      <c r="G8" s="29" t="n">
        <v>0.1122</v>
      </c>
      <c r="H8" s="29" t="n">
        <v>0.389</v>
      </c>
      <c r="I8" s="29" t="n">
        <v>0.064</v>
      </c>
    </row>
    <row r="9" customFormat="false" ht="15" hidden="false" customHeight="false" outlineLevel="0" collapsed="false">
      <c r="A9" s="10" t="s">
        <v>496</v>
      </c>
      <c r="B9" s="10" t="s">
        <v>267</v>
      </c>
      <c r="C9" s="10" t="n">
        <v>0.14</v>
      </c>
      <c r="D9" s="10" t="n">
        <v>4.5</v>
      </c>
      <c r="E9" s="29" t="n">
        <v>-0.042</v>
      </c>
      <c r="F9" s="29" t="n">
        <v>-0.1863</v>
      </c>
      <c r="G9" s="29" t="n">
        <v>0.0993</v>
      </c>
      <c r="H9" s="29" t="n">
        <v>0.313</v>
      </c>
      <c r="I9" s="29" t="n">
        <v>0.07</v>
      </c>
    </row>
    <row r="10" customFormat="false" ht="15" hidden="false" customHeight="false" outlineLevel="0" collapsed="false">
      <c r="A10" s="10" t="s">
        <v>496</v>
      </c>
      <c r="B10" s="10" t="s">
        <v>272</v>
      </c>
      <c r="C10" s="10" t="n">
        <v>0.08</v>
      </c>
      <c r="D10" s="10" t="n">
        <v>1.8</v>
      </c>
      <c r="E10" s="29" t="n">
        <v>0.0062</v>
      </c>
      <c r="F10" s="29" t="n">
        <v>-0.128</v>
      </c>
      <c r="G10" s="29" t="n">
        <v>0.1394</v>
      </c>
      <c r="H10" s="29" t="n">
        <v>0.532</v>
      </c>
      <c r="I10" s="29" t="n">
        <v>0.169</v>
      </c>
    </row>
    <row r="11" customFormat="false" ht="15" hidden="false" customHeight="false" outlineLevel="0" collapsed="false">
      <c r="A11" s="10" t="s">
        <v>496</v>
      </c>
      <c r="B11" s="10" t="s">
        <v>272</v>
      </c>
      <c r="C11" s="10" t="n">
        <v>0.08</v>
      </c>
      <c r="D11" s="10" t="n">
        <v>2.7</v>
      </c>
      <c r="E11" s="29" t="n">
        <v>-0.033</v>
      </c>
      <c r="F11" s="29" t="n">
        <v>-0.1665</v>
      </c>
      <c r="G11" s="29" t="n">
        <v>0.0982</v>
      </c>
      <c r="H11" s="29" t="n">
        <v>0.336</v>
      </c>
      <c r="I11" s="29" t="n">
        <v>0.085</v>
      </c>
    </row>
    <row r="12" customFormat="false" ht="15" hidden="false" customHeight="false" outlineLevel="0" collapsed="false">
      <c r="A12" s="10" t="s">
        <v>496</v>
      </c>
      <c r="B12" s="10" t="s">
        <v>272</v>
      </c>
      <c r="C12" s="10" t="n">
        <v>0.08</v>
      </c>
      <c r="D12" s="10" t="n">
        <v>3.6</v>
      </c>
      <c r="E12" s="29" t="n">
        <v>-0.0523</v>
      </c>
      <c r="F12" s="29" t="n">
        <v>-0.1885</v>
      </c>
      <c r="G12" s="29" t="n">
        <v>0.0814</v>
      </c>
      <c r="H12" s="29" t="n">
        <v>0.256</v>
      </c>
      <c r="I12" s="29" t="n">
        <v>0.047</v>
      </c>
    </row>
    <row r="13" customFormat="false" ht="15" hidden="false" customHeight="false" outlineLevel="0" collapsed="false">
      <c r="A13" s="10" t="s">
        <v>496</v>
      </c>
      <c r="B13" s="10" t="s">
        <v>272</v>
      </c>
      <c r="C13" s="10" t="n">
        <v>0.12</v>
      </c>
      <c r="D13" s="10" t="n">
        <v>1.8</v>
      </c>
      <c r="E13" s="29" t="n">
        <v>-0.0351</v>
      </c>
      <c r="F13" s="29" t="n">
        <v>-0.1688</v>
      </c>
      <c r="G13" s="29" t="n">
        <v>0.0977</v>
      </c>
      <c r="H13" s="29" t="n">
        <v>0.327</v>
      </c>
      <c r="I13" s="29" t="n">
        <v>0.074</v>
      </c>
    </row>
    <row r="14" customFormat="false" ht="15" hidden="false" customHeight="false" outlineLevel="0" collapsed="false">
      <c r="A14" s="10" t="s">
        <v>496</v>
      </c>
      <c r="B14" s="10" t="s">
        <v>272</v>
      </c>
      <c r="C14" s="10" t="n">
        <v>0.12</v>
      </c>
      <c r="D14" s="10" t="n">
        <v>2.7</v>
      </c>
      <c r="E14" s="29" t="n">
        <v>-0.063</v>
      </c>
      <c r="F14" s="29" t="n">
        <v>-0.198</v>
      </c>
      <c r="G14" s="29" t="n">
        <v>0.0699</v>
      </c>
      <c r="H14" s="29" t="n">
        <v>0.219</v>
      </c>
      <c r="I14" s="29" t="n">
        <v>0.049</v>
      </c>
    </row>
    <row r="15" customFormat="false" ht="15" hidden="false" customHeight="false" outlineLevel="0" collapsed="false">
      <c r="A15" s="10" t="s">
        <v>496</v>
      </c>
      <c r="B15" s="10" t="s">
        <v>272</v>
      </c>
      <c r="C15" s="10" t="n">
        <v>0.12</v>
      </c>
      <c r="D15" s="10" t="n">
        <v>3.6</v>
      </c>
      <c r="E15" s="29" t="n">
        <v>-0.0996</v>
      </c>
      <c r="F15" s="29" t="n">
        <v>-0.2409</v>
      </c>
      <c r="G15" s="29" t="n">
        <v>0.0341</v>
      </c>
      <c r="H15" s="29" t="n">
        <v>0.116</v>
      </c>
      <c r="I15" s="29" t="n">
        <v>0.046</v>
      </c>
    </row>
    <row r="16" customFormat="false" ht="15" hidden="false" customHeight="false" outlineLevel="0" collapsed="false">
      <c r="A16" s="10" t="s">
        <v>496</v>
      </c>
      <c r="B16" s="10" t="s">
        <v>272</v>
      </c>
      <c r="C16" s="10" t="n">
        <v>0.16</v>
      </c>
      <c r="D16" s="10" t="n">
        <v>1.8</v>
      </c>
      <c r="E16" s="29" t="n">
        <v>-0.0562</v>
      </c>
      <c r="F16" s="29" t="n">
        <v>-0.1914</v>
      </c>
      <c r="G16" s="29" t="n">
        <v>0.0781</v>
      </c>
      <c r="H16" s="29" t="n">
        <v>0.244</v>
      </c>
      <c r="I16" s="29" t="n">
        <v>0.052</v>
      </c>
    </row>
    <row r="17" customFormat="false" ht="15" hidden="false" customHeight="false" outlineLevel="0" collapsed="false">
      <c r="A17" s="10" t="s">
        <v>496</v>
      </c>
      <c r="B17" s="10" t="s">
        <v>272</v>
      </c>
      <c r="C17" s="10" t="n">
        <v>0.16</v>
      </c>
      <c r="D17" s="10" t="n">
        <v>2.7</v>
      </c>
      <c r="E17" s="29" t="n">
        <v>-0.1377</v>
      </c>
      <c r="F17" s="29" t="n">
        <v>-0.2892</v>
      </c>
      <c r="G17" s="29" t="n">
        <v>0.0043</v>
      </c>
      <c r="H17" s="29" t="n">
        <v>0.059</v>
      </c>
      <c r="I17" s="29" t="n">
        <v>0.048</v>
      </c>
    </row>
    <row r="18" customFormat="false" ht="15" hidden="false" customHeight="false" outlineLevel="0" collapsed="false">
      <c r="A18" s="10" t="s">
        <v>497</v>
      </c>
      <c r="B18" s="10" t="s">
        <v>267</v>
      </c>
      <c r="C18" s="10" t="n">
        <v>0.08</v>
      </c>
      <c r="D18" s="10" t="n">
        <v>3.6</v>
      </c>
      <c r="E18" s="29" t="n">
        <v>0.211</v>
      </c>
      <c r="F18" s="29" t="n">
        <v>0.1291</v>
      </c>
      <c r="G18" s="29" t="n">
        <v>0.2946</v>
      </c>
      <c r="H18" s="29" t="n">
        <v>1</v>
      </c>
      <c r="I18" s="29" t="n">
        <v>0.162</v>
      </c>
    </row>
    <row r="19" customFormat="false" ht="15" hidden="false" customHeight="false" outlineLevel="0" collapsed="false">
      <c r="A19" s="10" t="s">
        <v>497</v>
      </c>
      <c r="B19" s="10" t="s">
        <v>267</v>
      </c>
      <c r="C19" s="10" t="n">
        <v>0.08</v>
      </c>
      <c r="D19" s="10" t="n">
        <v>4.5</v>
      </c>
      <c r="E19" s="29" t="n">
        <v>0.1897</v>
      </c>
      <c r="F19" s="29" t="n">
        <v>0.1093</v>
      </c>
      <c r="G19" s="29" t="n">
        <v>0.2737</v>
      </c>
      <c r="H19" s="29" t="n">
        <v>1</v>
      </c>
      <c r="I19" s="29" t="n">
        <v>0.106</v>
      </c>
    </row>
    <row r="20" customFormat="false" ht="15" hidden="false" customHeight="false" outlineLevel="0" collapsed="false">
      <c r="A20" s="10" t="s">
        <v>497</v>
      </c>
      <c r="B20" s="10" t="s">
        <v>267</v>
      </c>
      <c r="C20" s="10" t="n">
        <v>0.08</v>
      </c>
      <c r="D20" s="10" t="n">
        <v>5.4</v>
      </c>
      <c r="E20" s="29" t="n">
        <v>0.1684</v>
      </c>
      <c r="F20" s="29" t="n">
        <v>0.0877</v>
      </c>
      <c r="G20" s="29" t="n">
        <v>0.2567</v>
      </c>
      <c r="H20" s="29" t="n">
        <v>1</v>
      </c>
      <c r="I20" s="29" t="n">
        <v>0.049</v>
      </c>
    </row>
    <row r="21" customFormat="false" ht="15" hidden="false" customHeight="false" outlineLevel="0" collapsed="false">
      <c r="A21" s="10" t="s">
        <v>497</v>
      </c>
      <c r="B21" s="10" t="s">
        <v>267</v>
      </c>
      <c r="C21" s="10" t="n">
        <v>0.11</v>
      </c>
      <c r="D21" s="10" t="n">
        <v>3.6</v>
      </c>
      <c r="E21" s="29" t="n">
        <v>0.1934</v>
      </c>
      <c r="F21" s="29" t="n">
        <v>0.1135</v>
      </c>
      <c r="G21" s="29" t="n">
        <v>0.2768</v>
      </c>
      <c r="H21" s="29" t="n">
        <v>1</v>
      </c>
      <c r="I21" s="29" t="n">
        <v>0.101</v>
      </c>
    </row>
    <row r="22" customFormat="false" ht="15" hidden="false" customHeight="false" outlineLevel="0" collapsed="false">
      <c r="A22" s="10" t="s">
        <v>497</v>
      </c>
      <c r="B22" s="10" t="s">
        <v>267</v>
      </c>
      <c r="C22" s="10" t="n">
        <v>0.11</v>
      </c>
      <c r="D22" s="10" t="n">
        <v>4.5</v>
      </c>
      <c r="E22" s="29" t="n">
        <v>0.1713</v>
      </c>
      <c r="F22" s="29" t="n">
        <v>0.0914</v>
      </c>
      <c r="G22" s="29" t="n">
        <v>0.2584</v>
      </c>
      <c r="H22" s="29" t="n">
        <v>0.999</v>
      </c>
      <c r="I22" s="29" t="n">
        <v>0.052</v>
      </c>
    </row>
    <row r="23" customFormat="false" ht="15" hidden="false" customHeight="false" outlineLevel="0" collapsed="false">
      <c r="A23" s="10" t="s">
        <v>497</v>
      </c>
      <c r="B23" s="10" t="s">
        <v>267</v>
      </c>
      <c r="C23" s="10" t="n">
        <v>0.11</v>
      </c>
      <c r="D23" s="10" t="n">
        <v>5.4</v>
      </c>
      <c r="E23" s="29" t="n">
        <v>0.1487</v>
      </c>
      <c r="F23" s="29" t="n">
        <v>0.0616</v>
      </c>
      <c r="G23" s="29" t="n">
        <v>0.2377</v>
      </c>
      <c r="H23" s="29" t="n">
        <v>0.998</v>
      </c>
      <c r="I23" s="29" t="n">
        <v>0.054</v>
      </c>
    </row>
    <row r="24" customFormat="false" ht="15" hidden="false" customHeight="false" outlineLevel="0" collapsed="false">
      <c r="A24" s="10" t="s">
        <v>497</v>
      </c>
      <c r="B24" s="10" t="s">
        <v>267</v>
      </c>
      <c r="C24" s="10" t="n">
        <v>0.14</v>
      </c>
      <c r="D24" s="10" t="n">
        <v>3.6</v>
      </c>
      <c r="E24" s="29" t="n">
        <v>0.1854</v>
      </c>
      <c r="F24" s="29" t="n">
        <v>0.1053</v>
      </c>
      <c r="G24" s="29" t="n">
        <v>0.2721</v>
      </c>
      <c r="H24" s="29" t="n">
        <v>1</v>
      </c>
      <c r="I24" s="29" t="n">
        <v>0.064</v>
      </c>
    </row>
    <row r="25" customFormat="false" ht="15" hidden="false" customHeight="false" outlineLevel="0" collapsed="false">
      <c r="A25" s="10" t="s">
        <v>497</v>
      </c>
      <c r="B25" s="10" t="s">
        <v>267</v>
      </c>
      <c r="C25" s="10" t="n">
        <v>0.14</v>
      </c>
      <c r="D25" s="10" t="n">
        <v>4.5</v>
      </c>
      <c r="E25" s="29" t="n">
        <v>0.1688</v>
      </c>
      <c r="F25" s="29" t="n">
        <v>0.0752</v>
      </c>
      <c r="G25" s="29" t="n">
        <v>0.2653</v>
      </c>
      <c r="H25" s="29" t="n">
        <v>0.998</v>
      </c>
      <c r="I25" s="29" t="n">
        <v>0.07</v>
      </c>
    </row>
    <row r="26" customFormat="false" ht="15" hidden="false" customHeight="false" outlineLevel="0" collapsed="false">
      <c r="A26" s="10" t="s">
        <v>497</v>
      </c>
      <c r="B26" s="10" t="s">
        <v>272</v>
      </c>
      <c r="C26" s="10" t="n">
        <v>0.08</v>
      </c>
      <c r="D26" s="10" t="n">
        <v>1.8</v>
      </c>
      <c r="E26" s="29" t="n">
        <v>0.1782</v>
      </c>
      <c r="F26" s="29" t="n">
        <v>0.0899</v>
      </c>
      <c r="G26" s="29" t="n">
        <v>0.2669</v>
      </c>
      <c r="H26" s="29" t="n">
        <v>0.999</v>
      </c>
      <c r="I26" s="29" t="n">
        <v>0.169</v>
      </c>
    </row>
    <row r="27" customFormat="false" ht="15" hidden="false" customHeight="false" outlineLevel="0" collapsed="false">
      <c r="A27" s="10" t="s">
        <v>497</v>
      </c>
      <c r="B27" s="10" t="s">
        <v>272</v>
      </c>
      <c r="C27" s="10" t="n">
        <v>0.08</v>
      </c>
      <c r="D27" s="10" t="n">
        <v>2.7</v>
      </c>
      <c r="E27" s="29" t="n">
        <v>0.174</v>
      </c>
      <c r="F27" s="29" t="n">
        <v>0.0917</v>
      </c>
      <c r="G27" s="29" t="n">
        <v>0.2601</v>
      </c>
      <c r="H27" s="29" t="n">
        <v>1</v>
      </c>
      <c r="I27" s="29" t="n">
        <v>0.085</v>
      </c>
    </row>
    <row r="28" customFormat="false" ht="15" hidden="false" customHeight="false" outlineLevel="0" collapsed="false">
      <c r="A28" s="10" t="s">
        <v>497</v>
      </c>
      <c r="B28" s="10" t="s">
        <v>272</v>
      </c>
      <c r="C28" s="10" t="n">
        <v>0.08</v>
      </c>
      <c r="D28" s="10" t="n">
        <v>3.6</v>
      </c>
      <c r="E28" s="29" t="n">
        <v>0.1566</v>
      </c>
      <c r="F28" s="29" t="n">
        <v>0.0741</v>
      </c>
      <c r="G28" s="29" t="n">
        <v>0.2453</v>
      </c>
      <c r="H28" s="29" t="n">
        <v>0.999</v>
      </c>
      <c r="I28" s="29" t="n">
        <v>0.047</v>
      </c>
    </row>
    <row r="29" customFormat="false" ht="15" hidden="false" customHeight="false" outlineLevel="0" collapsed="false">
      <c r="A29" s="10" t="s">
        <v>497</v>
      </c>
      <c r="B29" s="10" t="s">
        <v>272</v>
      </c>
      <c r="C29" s="10" t="n">
        <v>0.12</v>
      </c>
      <c r="D29" s="10" t="n">
        <v>1.8</v>
      </c>
      <c r="E29" s="29" t="n">
        <v>0.1</v>
      </c>
      <c r="F29" s="29" t="n">
        <v>0.0026</v>
      </c>
      <c r="G29" s="29" t="n">
        <v>0.2036</v>
      </c>
      <c r="H29" s="29" t="n">
        <v>0.955</v>
      </c>
      <c r="I29" s="29" t="n">
        <v>0.074</v>
      </c>
    </row>
    <row r="30" customFormat="false" ht="15" hidden="false" customHeight="false" outlineLevel="0" collapsed="false">
      <c r="A30" s="10" t="s">
        <v>497</v>
      </c>
      <c r="B30" s="10" t="s">
        <v>272</v>
      </c>
      <c r="C30" s="10" t="n">
        <v>0.12</v>
      </c>
      <c r="D30" s="10" t="n">
        <v>2.7</v>
      </c>
      <c r="E30" s="29" t="n">
        <v>0.1203</v>
      </c>
      <c r="F30" s="29" t="n">
        <v>0.0345</v>
      </c>
      <c r="G30" s="29" t="n">
        <v>0.2119</v>
      </c>
      <c r="H30" s="29" t="n">
        <v>0.993</v>
      </c>
      <c r="I30" s="29" t="n">
        <v>0.049</v>
      </c>
    </row>
    <row r="31" customFormat="false" ht="15" hidden="false" customHeight="false" outlineLevel="0" collapsed="false">
      <c r="A31" s="10" t="s">
        <v>497</v>
      </c>
      <c r="B31" s="10" t="s">
        <v>272</v>
      </c>
      <c r="C31" s="10" t="n">
        <v>0.12</v>
      </c>
      <c r="D31" s="10" t="n">
        <v>3.6</v>
      </c>
      <c r="E31" s="29" t="n">
        <v>0.0967</v>
      </c>
      <c r="F31" s="29" t="n">
        <v>0.0018</v>
      </c>
      <c r="G31" s="29" t="n">
        <v>0.1937</v>
      </c>
      <c r="H31" s="29" t="n">
        <v>0.954</v>
      </c>
      <c r="I31" s="29" t="n">
        <v>0.046</v>
      </c>
    </row>
    <row r="32" customFormat="false" ht="15" hidden="false" customHeight="false" outlineLevel="0" collapsed="false">
      <c r="A32" s="10" t="s">
        <v>497</v>
      </c>
      <c r="B32" s="10" t="s">
        <v>272</v>
      </c>
      <c r="C32" s="10" t="n">
        <v>0.16</v>
      </c>
      <c r="D32" s="10" t="n">
        <v>1.8</v>
      </c>
      <c r="E32" s="29" t="n">
        <v>0.0654</v>
      </c>
      <c r="F32" s="29" t="n">
        <v>-0.0352</v>
      </c>
      <c r="G32" s="29" t="n">
        <v>0.1748</v>
      </c>
      <c r="H32" s="29" t="n">
        <v>0.85</v>
      </c>
      <c r="I32" s="29" t="n">
        <v>0.052</v>
      </c>
    </row>
    <row r="33" customFormat="false" ht="15" hidden="false" customHeight="false" outlineLevel="0" collapsed="false">
      <c r="A33" s="10" t="s">
        <v>497</v>
      </c>
      <c r="B33" s="10" t="s">
        <v>272</v>
      </c>
      <c r="C33" s="10" t="n">
        <v>0.16</v>
      </c>
      <c r="D33" s="10" t="n">
        <v>2.7</v>
      </c>
      <c r="E33" s="29" t="n">
        <v>0.0285</v>
      </c>
      <c r="F33" s="29" t="n">
        <v>-0.0961</v>
      </c>
      <c r="G33" s="29" t="n">
        <v>0.1473</v>
      </c>
      <c r="H33" s="29" t="n">
        <v>0.641</v>
      </c>
      <c r="I33" s="29" t="n">
        <v>0.048</v>
      </c>
    </row>
    <row r="36" customFormat="false" ht="45" hidden="false" customHeight="true" outlineLevel="0" collapsed="false">
      <c r="A36" s="4" t="s">
        <v>36</v>
      </c>
      <c r="B36" s="4" t="s">
        <v>498</v>
      </c>
      <c r="C36" s="4" t="s">
        <v>499</v>
      </c>
    </row>
    <row r="37" customFormat="false" ht="15" hidden="false" customHeight="false" outlineLevel="0" collapsed="false">
      <c r="A37" s="6" t="s">
        <v>183</v>
      </c>
      <c r="B37" s="29" t="n">
        <v>-0.1539</v>
      </c>
      <c r="C37" s="29" t="n">
        <v>-0.2212</v>
      </c>
    </row>
    <row r="38" customFormat="false" ht="15" hidden="false" customHeight="false" outlineLevel="0" collapsed="false">
      <c r="A38" s="6" t="s">
        <v>191</v>
      </c>
      <c r="B38" s="29" t="n">
        <v>-0.0679</v>
      </c>
      <c r="C38" s="29" t="n">
        <v>-0.117</v>
      </c>
    </row>
    <row r="39" customFormat="false" ht="15" hidden="false" customHeight="false" outlineLevel="0" collapsed="false">
      <c r="A39" s="6" t="s">
        <v>157</v>
      </c>
      <c r="B39" s="29" t="n">
        <v>0.1092</v>
      </c>
      <c r="C39" s="29" t="n">
        <v>0.1412</v>
      </c>
    </row>
    <row r="40" customFormat="false" ht="15" hidden="false" customHeight="false" outlineLevel="0" collapsed="false">
      <c r="A40" s="6" t="s">
        <v>174</v>
      </c>
      <c r="B40" s="29" t="n">
        <v>-0.0132</v>
      </c>
      <c r="C40" s="29" t="n">
        <v>0.0009</v>
      </c>
    </row>
    <row r="41" customFormat="false" ht="15" hidden="false" customHeight="false" outlineLevel="0" collapsed="false">
      <c r="A41" s="6" t="s">
        <v>145</v>
      </c>
      <c r="B41" s="29" t="n">
        <v>0.0408</v>
      </c>
      <c r="C41" s="29" t="n">
        <v>0.0835</v>
      </c>
    </row>
    <row r="42" customFormat="false" ht="15" hidden="false" customHeight="false" outlineLevel="0" collapsed="false">
      <c r="A42" s="6" t="s">
        <v>141</v>
      </c>
      <c r="B42" s="29" t="n">
        <v>-0.0223</v>
      </c>
      <c r="C42" s="29" t="n">
        <v>-0.0094</v>
      </c>
    </row>
    <row r="43" customFormat="false" ht="15" hidden="false" customHeight="false" outlineLevel="0" collapsed="false">
      <c r="A43" s="6" t="s">
        <v>109</v>
      </c>
      <c r="B43" s="29" t="n">
        <v>0.0253</v>
      </c>
      <c r="C43" s="29" t="n">
        <v>0.0414</v>
      </c>
    </row>
    <row r="44" customFormat="false" ht="15" hidden="false" customHeight="false" outlineLevel="0" collapsed="false">
      <c r="A44" s="6" t="s">
        <v>107</v>
      </c>
      <c r="B44" s="29" t="n">
        <v>0.0971</v>
      </c>
      <c r="C44" s="29" t="n">
        <v>0.1444</v>
      </c>
    </row>
    <row r="45" customFormat="false" ht="15" hidden="false" customHeight="false" outlineLevel="0" collapsed="false">
      <c r="A45" s="6" t="s">
        <v>73</v>
      </c>
      <c r="B45" s="29" t="n">
        <v>0.0749</v>
      </c>
      <c r="C45" s="29" t="n">
        <v>0.1223</v>
      </c>
    </row>
    <row r="46" customFormat="false" ht="15" hidden="false" customHeight="false" outlineLevel="0" collapsed="false">
      <c r="A46" s="6" t="s">
        <v>77</v>
      </c>
      <c r="B46" s="29" t="n">
        <v>0.0307</v>
      </c>
      <c r="C46" s="29" t="n">
        <v>0.0337</v>
      </c>
    </row>
    <row r="47" customFormat="false" ht="15" hidden="false" customHeight="false" outlineLevel="0" collapsed="false">
      <c r="A47" s="6" t="s">
        <v>85</v>
      </c>
      <c r="B47" s="29" t="n">
        <v>0.1923</v>
      </c>
      <c r="C47" s="29" t="n">
        <v>0.202</v>
      </c>
    </row>
    <row r="48" customFormat="false" ht="15" hidden="false" customHeight="false" outlineLevel="0" collapsed="false">
      <c r="A48" s="6" t="s">
        <v>172</v>
      </c>
      <c r="B48" s="29" t="n">
        <v>0.0251</v>
      </c>
      <c r="C48" s="29" t="n">
        <v>0.0079</v>
      </c>
    </row>
    <row r="49" customFormat="false" ht="15" hidden="false" customHeight="false" outlineLevel="0" collapsed="false">
      <c r="A49" s="6" t="s">
        <v>138</v>
      </c>
      <c r="B49" s="29" t="n">
        <v>0.0171</v>
      </c>
      <c r="C49" s="29" t="n">
        <v>0.0088</v>
      </c>
    </row>
    <row r="50" customFormat="false" ht="15" hidden="false" customHeight="false" outlineLevel="0" collapsed="false">
      <c r="A50" s="6" t="s">
        <v>83</v>
      </c>
      <c r="B50" s="29" t="n">
        <v>-0.0055</v>
      </c>
      <c r="C50" s="29" t="n">
        <v>-0.012</v>
      </c>
    </row>
    <row r="51" customFormat="false" ht="15" hidden="false" customHeight="false" outlineLevel="0" collapsed="false">
      <c r="A51" s="6" t="s">
        <v>163</v>
      </c>
      <c r="B51" s="29" t="n">
        <v>-0.0671</v>
      </c>
      <c r="C51" s="29" t="n">
        <v>-0.0998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2026-10-18T10:13:28Z</dcterms:created>
  <dc:creator>openpyxl</dc:creator>
  <dc:description/>
  <dc:language>en-US</dc:language>
  <cp:lastModifiedBy/>
  <dcterms:modified xsi:type="dcterms:W3CDTF">2026-10-18T10:13:30Z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